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73e95006c98cbb/Desktop/HR Analytics/Capstone Project/"/>
    </mc:Choice>
  </mc:AlternateContent>
  <xr:revisionPtr revIDLastSave="179" documentId="8_{32DC4F75-BCC0-4A58-994E-F371FBE404A6}" xr6:coauthVersionLast="47" xr6:coauthVersionMax="47" xr10:uidLastSave="{30327F9A-DF0A-4914-B814-536D8D0828E8}"/>
  <bookViews>
    <workbookView xWindow="-98" yWindow="-98" windowWidth="21795" windowHeight="11625" activeTab="1" xr2:uid="{00000000-000D-0000-FFFF-FFFF00000000}"/>
  </bookViews>
  <sheets>
    <sheet name="Sales" sheetId="1" r:id="rId1"/>
    <sheet name="Regrassion" sheetId="2" r:id="rId2"/>
    <sheet name="Visualization" sheetId="4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1" i="1" l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</calcChain>
</file>

<file path=xl/sharedStrings.xml><?xml version="1.0" encoding="utf-8"?>
<sst xmlns="http://schemas.openxmlformats.org/spreadsheetml/2006/main" count="414" uniqueCount="51">
  <si>
    <t>Age</t>
  </si>
  <si>
    <t>Ethnicity</t>
  </si>
  <si>
    <t>Black/African-American</t>
  </si>
  <si>
    <t>Asian</t>
  </si>
  <si>
    <t>Hispanic</t>
  </si>
  <si>
    <t>Native Hawaiian/Pacific Islander</t>
  </si>
  <si>
    <t>Native American</t>
  </si>
  <si>
    <t>ID</t>
  </si>
  <si>
    <t>Male</t>
  </si>
  <si>
    <t>Female</t>
  </si>
  <si>
    <t>White</t>
  </si>
  <si>
    <t>Experience</t>
  </si>
  <si>
    <t>No past experience</t>
  </si>
  <si>
    <t>Some past experience</t>
  </si>
  <si>
    <t>Sex at birth</t>
  </si>
  <si>
    <t>Extraversion</t>
  </si>
  <si>
    <t>Emotional Stability</t>
  </si>
  <si>
    <t>Ambition</t>
  </si>
  <si>
    <t>Performance M1</t>
  </si>
  <si>
    <t>Performance M2</t>
  </si>
  <si>
    <t>Performance M3</t>
  </si>
  <si>
    <t>Performance M4</t>
  </si>
  <si>
    <t>Final Performance</t>
  </si>
  <si>
    <t>Experience Num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</si>
  <si>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</si>
  <si>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</si>
  <si>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</si>
  <si>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</si>
  <si>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</si>
  <si>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</si>
  <si>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</si>
  <si>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</si>
  <si>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</si>
  <si>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</si>
  <si>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</si>
  <si>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</si>
  <si>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</si>
  <si>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</si>
  <si>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</si>
  <si>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</si>
  <si>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</si>
  <si>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</si>
  <si>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</si>
  <si>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</si>
  <si>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</si>
  <si>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</si>
  <si>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</si>
  <si>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</si>
  <si>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Row Labels</t>
  </si>
  <si>
    <t>Grand Total</t>
  </si>
  <si>
    <t>Average of Final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</si>
</sst>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[hr_analytics_Excel_Project Data.xlsx]Sheet2!PivotTable1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565113735783029"/>
          <c:y val="0.28643299795858851"/>
          <c:w val="0.3952331583552056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 past experience</c:v>
                </c:pt>
                <c:pt idx="1">
                  <c:v>Some past experience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3.9382826278659611</c:v>
                </c:pt>
                <c:pt idx="1">
                  <c:v>4.1861476608187145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A-452C-8FEC-78DDD2AA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18848"/>
        <c:axId val="53519328"/>
      </c:barChart>
      <c:catAx>
        <c:axId val="5351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328"/>
        <c:crosses val="autoZero"/>
        <c:auto val="1"/>
        <c:lblAlgn val="ctr"/>
        <c:lblOffset val="100"/>
        <c:noMultiLvlLbl val="0"/>
      </c:catAx>
      <c:valAx>
        <c:axId val="5351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Ambition vs</a:t>
            </a:r>
            <a:r>
              <a:rPr lang="en-US" b="1" baseline="0"/>
              <a:t> Employee Performence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Final Performance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Sales!$H$2:$H$121</c:f>
              <c:numCache>
                <c:formatCode>0</c:formatCode>
                <c:ptCount val="120"/>
                <c:pt idx="0">
                  <c:v>75</c:v>
                </c:pt>
                <c:pt idx="1">
                  <c:v>69</c:v>
                </c:pt>
                <c:pt idx="2">
                  <c:v>59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69</c:v>
                </c:pt>
                <c:pt idx="7">
                  <c:v>75</c:v>
                </c:pt>
                <c:pt idx="8">
                  <c:v>62</c:v>
                </c:pt>
                <c:pt idx="9">
                  <c:v>61</c:v>
                </c:pt>
                <c:pt idx="10">
                  <c:v>70</c:v>
                </c:pt>
                <c:pt idx="11">
                  <c:v>68</c:v>
                </c:pt>
                <c:pt idx="12">
                  <c:v>39</c:v>
                </c:pt>
                <c:pt idx="13">
                  <c:v>58</c:v>
                </c:pt>
                <c:pt idx="14">
                  <c:v>54</c:v>
                </c:pt>
                <c:pt idx="15">
                  <c:v>55</c:v>
                </c:pt>
                <c:pt idx="16">
                  <c:v>65</c:v>
                </c:pt>
                <c:pt idx="17">
                  <c:v>78</c:v>
                </c:pt>
                <c:pt idx="18">
                  <c:v>85</c:v>
                </c:pt>
                <c:pt idx="19">
                  <c:v>50</c:v>
                </c:pt>
                <c:pt idx="20">
                  <c:v>66</c:v>
                </c:pt>
                <c:pt idx="21">
                  <c:v>61</c:v>
                </c:pt>
                <c:pt idx="22">
                  <c:v>56</c:v>
                </c:pt>
                <c:pt idx="23">
                  <c:v>75</c:v>
                </c:pt>
                <c:pt idx="24">
                  <c:v>53</c:v>
                </c:pt>
                <c:pt idx="25">
                  <c:v>64</c:v>
                </c:pt>
                <c:pt idx="26">
                  <c:v>66</c:v>
                </c:pt>
                <c:pt idx="27">
                  <c:v>64</c:v>
                </c:pt>
                <c:pt idx="28">
                  <c:v>58</c:v>
                </c:pt>
                <c:pt idx="29">
                  <c:v>96</c:v>
                </c:pt>
                <c:pt idx="30">
                  <c:v>43</c:v>
                </c:pt>
                <c:pt idx="31">
                  <c:v>76</c:v>
                </c:pt>
                <c:pt idx="32">
                  <c:v>57</c:v>
                </c:pt>
                <c:pt idx="33">
                  <c:v>76</c:v>
                </c:pt>
                <c:pt idx="34">
                  <c:v>52</c:v>
                </c:pt>
                <c:pt idx="35">
                  <c:v>62</c:v>
                </c:pt>
                <c:pt idx="36">
                  <c:v>63</c:v>
                </c:pt>
                <c:pt idx="37">
                  <c:v>65</c:v>
                </c:pt>
                <c:pt idx="38">
                  <c:v>61</c:v>
                </c:pt>
                <c:pt idx="39">
                  <c:v>69</c:v>
                </c:pt>
                <c:pt idx="40">
                  <c:v>77</c:v>
                </c:pt>
                <c:pt idx="41">
                  <c:v>49</c:v>
                </c:pt>
                <c:pt idx="42">
                  <c:v>62</c:v>
                </c:pt>
                <c:pt idx="43">
                  <c:v>82</c:v>
                </c:pt>
                <c:pt idx="44">
                  <c:v>67</c:v>
                </c:pt>
                <c:pt idx="45">
                  <c:v>58</c:v>
                </c:pt>
                <c:pt idx="46">
                  <c:v>68</c:v>
                </c:pt>
                <c:pt idx="47">
                  <c:v>41</c:v>
                </c:pt>
                <c:pt idx="48">
                  <c:v>57</c:v>
                </c:pt>
                <c:pt idx="49">
                  <c:v>74</c:v>
                </c:pt>
                <c:pt idx="50">
                  <c:v>77</c:v>
                </c:pt>
                <c:pt idx="51">
                  <c:v>41</c:v>
                </c:pt>
                <c:pt idx="52">
                  <c:v>52</c:v>
                </c:pt>
                <c:pt idx="53">
                  <c:v>43</c:v>
                </c:pt>
                <c:pt idx="54">
                  <c:v>62</c:v>
                </c:pt>
                <c:pt idx="55">
                  <c:v>64</c:v>
                </c:pt>
                <c:pt idx="56">
                  <c:v>53</c:v>
                </c:pt>
                <c:pt idx="57">
                  <c:v>69</c:v>
                </c:pt>
                <c:pt idx="58">
                  <c:v>54</c:v>
                </c:pt>
                <c:pt idx="59">
                  <c:v>55</c:v>
                </c:pt>
                <c:pt idx="60">
                  <c:v>81</c:v>
                </c:pt>
                <c:pt idx="61">
                  <c:v>69</c:v>
                </c:pt>
                <c:pt idx="62">
                  <c:v>74</c:v>
                </c:pt>
                <c:pt idx="63">
                  <c:v>66</c:v>
                </c:pt>
                <c:pt idx="64">
                  <c:v>66</c:v>
                </c:pt>
                <c:pt idx="65">
                  <c:v>49</c:v>
                </c:pt>
                <c:pt idx="66">
                  <c:v>58</c:v>
                </c:pt>
                <c:pt idx="67">
                  <c:v>71</c:v>
                </c:pt>
                <c:pt idx="68">
                  <c:v>62</c:v>
                </c:pt>
                <c:pt idx="69">
                  <c:v>68</c:v>
                </c:pt>
                <c:pt idx="70">
                  <c:v>62</c:v>
                </c:pt>
                <c:pt idx="71">
                  <c:v>68</c:v>
                </c:pt>
                <c:pt idx="72">
                  <c:v>84</c:v>
                </c:pt>
                <c:pt idx="73">
                  <c:v>81</c:v>
                </c:pt>
                <c:pt idx="74">
                  <c:v>79</c:v>
                </c:pt>
                <c:pt idx="75">
                  <c:v>60</c:v>
                </c:pt>
                <c:pt idx="76">
                  <c:v>74</c:v>
                </c:pt>
                <c:pt idx="77">
                  <c:v>89</c:v>
                </c:pt>
                <c:pt idx="78">
                  <c:v>62</c:v>
                </c:pt>
                <c:pt idx="79">
                  <c:v>66</c:v>
                </c:pt>
                <c:pt idx="80">
                  <c:v>65</c:v>
                </c:pt>
                <c:pt idx="81">
                  <c:v>67</c:v>
                </c:pt>
                <c:pt idx="82">
                  <c:v>72</c:v>
                </c:pt>
                <c:pt idx="83">
                  <c:v>47</c:v>
                </c:pt>
                <c:pt idx="84">
                  <c:v>59</c:v>
                </c:pt>
                <c:pt idx="85">
                  <c:v>68</c:v>
                </c:pt>
                <c:pt idx="86">
                  <c:v>69</c:v>
                </c:pt>
                <c:pt idx="87">
                  <c:v>78</c:v>
                </c:pt>
                <c:pt idx="88">
                  <c:v>54</c:v>
                </c:pt>
                <c:pt idx="89">
                  <c:v>58</c:v>
                </c:pt>
                <c:pt idx="90">
                  <c:v>64</c:v>
                </c:pt>
                <c:pt idx="91">
                  <c:v>65</c:v>
                </c:pt>
                <c:pt idx="92">
                  <c:v>58</c:v>
                </c:pt>
                <c:pt idx="93">
                  <c:v>71</c:v>
                </c:pt>
                <c:pt idx="94">
                  <c:v>90</c:v>
                </c:pt>
                <c:pt idx="95">
                  <c:v>58</c:v>
                </c:pt>
                <c:pt idx="96">
                  <c:v>81</c:v>
                </c:pt>
                <c:pt idx="97">
                  <c:v>65</c:v>
                </c:pt>
                <c:pt idx="98">
                  <c:v>39</c:v>
                </c:pt>
                <c:pt idx="99">
                  <c:v>48</c:v>
                </c:pt>
                <c:pt idx="100">
                  <c:v>56</c:v>
                </c:pt>
                <c:pt idx="101">
                  <c:v>53</c:v>
                </c:pt>
                <c:pt idx="102">
                  <c:v>85</c:v>
                </c:pt>
                <c:pt idx="103">
                  <c:v>70</c:v>
                </c:pt>
                <c:pt idx="104">
                  <c:v>73</c:v>
                </c:pt>
                <c:pt idx="105">
                  <c:v>50</c:v>
                </c:pt>
                <c:pt idx="106">
                  <c:v>66</c:v>
                </c:pt>
                <c:pt idx="107">
                  <c:v>67</c:v>
                </c:pt>
                <c:pt idx="108">
                  <c:v>86</c:v>
                </c:pt>
                <c:pt idx="109">
                  <c:v>62</c:v>
                </c:pt>
                <c:pt idx="110">
                  <c:v>69</c:v>
                </c:pt>
                <c:pt idx="111">
                  <c:v>75</c:v>
                </c:pt>
                <c:pt idx="112">
                  <c:v>47</c:v>
                </c:pt>
                <c:pt idx="113">
                  <c:v>52</c:v>
                </c:pt>
                <c:pt idx="114">
                  <c:v>51</c:v>
                </c:pt>
                <c:pt idx="115">
                  <c:v>60</c:v>
                </c:pt>
                <c:pt idx="116">
                  <c:v>62</c:v>
                </c:pt>
                <c:pt idx="117">
                  <c:v>63</c:v>
                </c:pt>
                <c:pt idx="118">
                  <c:v>60</c:v>
                </c:pt>
                <c:pt idx="119">
                  <c:v>55</c:v>
                </c:pt>
              </c:numCache>
            </c:numRef>
          </c:xVal>
          <c:yVal>
            <c:numRef>
              <c:f>Sales!$M$2:$M$121</c:f>
              <c:numCache>
                <c:formatCode>0.00</c:formatCode>
                <c:ptCount val="120"/>
                <c:pt idx="0">
                  <c:v>4.2236111111111114</c:v>
                </c:pt>
                <c:pt idx="1">
                  <c:v>4.5486111111111107</c:v>
                </c:pt>
                <c:pt idx="2">
                  <c:v>4.2638888888888893</c:v>
                </c:pt>
                <c:pt idx="3">
                  <c:v>4.2458333333333336</c:v>
                </c:pt>
                <c:pt idx="4">
                  <c:v>3.6847222222222222</c:v>
                </c:pt>
                <c:pt idx="5">
                  <c:v>2.8527777777777779</c:v>
                </c:pt>
                <c:pt idx="6">
                  <c:v>4.0125000000000002</c:v>
                </c:pt>
                <c:pt idx="7">
                  <c:v>4.3986111111111112</c:v>
                </c:pt>
                <c:pt idx="8">
                  <c:v>4.7888888888888888</c:v>
                </c:pt>
                <c:pt idx="9">
                  <c:v>3.4013888888888886</c:v>
                </c:pt>
                <c:pt idx="10">
                  <c:v>4.7666666666666666</c:v>
                </c:pt>
                <c:pt idx="11">
                  <c:v>4.666666666666667</c:v>
                </c:pt>
                <c:pt idx="12">
                  <c:v>4.9375</c:v>
                </c:pt>
                <c:pt idx="13">
                  <c:v>4.2555555555555555</c:v>
                </c:pt>
                <c:pt idx="14">
                  <c:v>3.3958333333333335</c:v>
                </c:pt>
                <c:pt idx="15">
                  <c:v>4.4388888888888882</c:v>
                </c:pt>
                <c:pt idx="16">
                  <c:v>4.6694444444444443</c:v>
                </c:pt>
                <c:pt idx="17">
                  <c:v>3.6541666666666668</c:v>
                </c:pt>
                <c:pt idx="18">
                  <c:v>4.3041666666666671</c:v>
                </c:pt>
                <c:pt idx="19">
                  <c:v>3.2541666666666664</c:v>
                </c:pt>
                <c:pt idx="20">
                  <c:v>3.8486111111111114</c:v>
                </c:pt>
                <c:pt idx="21">
                  <c:v>3.3333333333333335</c:v>
                </c:pt>
                <c:pt idx="22">
                  <c:v>4.2402777777777771</c:v>
                </c:pt>
                <c:pt idx="23">
                  <c:v>4.3583333333333334</c:v>
                </c:pt>
                <c:pt idx="24">
                  <c:v>4.2902777777777779</c:v>
                </c:pt>
                <c:pt idx="25">
                  <c:v>4.5611111111111118</c:v>
                </c:pt>
                <c:pt idx="26">
                  <c:v>4.4111111111111114</c:v>
                </c:pt>
                <c:pt idx="27">
                  <c:v>3.9847222222222225</c:v>
                </c:pt>
                <c:pt idx="28">
                  <c:v>4.2652777777777775</c:v>
                </c:pt>
                <c:pt idx="29">
                  <c:v>4.7666666666666666</c:v>
                </c:pt>
                <c:pt idx="30">
                  <c:v>3.7861111111111114</c:v>
                </c:pt>
                <c:pt idx="31">
                  <c:v>4.3986111111111112</c:v>
                </c:pt>
                <c:pt idx="32">
                  <c:v>4.9722222222222223</c:v>
                </c:pt>
                <c:pt idx="33">
                  <c:v>4.5687499999999996</c:v>
                </c:pt>
                <c:pt idx="34">
                  <c:v>3.1875</c:v>
                </c:pt>
                <c:pt idx="35">
                  <c:v>3.5013888888888891</c:v>
                </c:pt>
                <c:pt idx="36">
                  <c:v>3.8777777777777778</c:v>
                </c:pt>
                <c:pt idx="37">
                  <c:v>3.6875</c:v>
                </c:pt>
                <c:pt idx="38">
                  <c:v>3.8791666666666664</c:v>
                </c:pt>
                <c:pt idx="39">
                  <c:v>3.6013888888888888</c:v>
                </c:pt>
                <c:pt idx="40">
                  <c:v>4.5111111111111111</c:v>
                </c:pt>
                <c:pt idx="41">
                  <c:v>3.2083333333333335</c:v>
                </c:pt>
                <c:pt idx="42">
                  <c:v>4.1694444444444443</c:v>
                </c:pt>
                <c:pt idx="43">
                  <c:v>4.875</c:v>
                </c:pt>
                <c:pt idx="44">
                  <c:v>4.3347222222222221</c:v>
                </c:pt>
                <c:pt idx="45">
                  <c:v>4.1402777777777775</c:v>
                </c:pt>
                <c:pt idx="46">
                  <c:v>4.8250000000000002</c:v>
                </c:pt>
                <c:pt idx="47">
                  <c:v>4.3208333333333329</c:v>
                </c:pt>
                <c:pt idx="48">
                  <c:v>3.6722222222222221</c:v>
                </c:pt>
                <c:pt idx="49">
                  <c:v>4.0222222222222221</c:v>
                </c:pt>
                <c:pt idx="50">
                  <c:v>4.2777777777777777</c:v>
                </c:pt>
                <c:pt idx="51">
                  <c:v>4.1749999999999998</c:v>
                </c:pt>
                <c:pt idx="52">
                  <c:v>3.4916666666666667</c:v>
                </c:pt>
                <c:pt idx="53">
                  <c:v>3.4763888888888888</c:v>
                </c:pt>
                <c:pt idx="54">
                  <c:v>3.6736111111111112</c:v>
                </c:pt>
                <c:pt idx="55">
                  <c:v>4.2972222222222225</c:v>
                </c:pt>
                <c:pt idx="56">
                  <c:v>4.6444444444444448</c:v>
                </c:pt>
                <c:pt idx="57">
                  <c:v>4.2236111111111114</c:v>
                </c:pt>
                <c:pt idx="58">
                  <c:v>3.5611111111111109</c:v>
                </c:pt>
                <c:pt idx="59">
                  <c:v>4.0250000000000004</c:v>
                </c:pt>
                <c:pt idx="60">
                  <c:v>4.7472222222222218</c:v>
                </c:pt>
                <c:pt idx="61">
                  <c:v>4.0027777777777782</c:v>
                </c:pt>
                <c:pt idx="62">
                  <c:v>4.208333333333333</c:v>
                </c:pt>
                <c:pt idx="63">
                  <c:v>4.4819444444444443</c:v>
                </c:pt>
                <c:pt idx="64">
                  <c:v>4.1041666666666661</c:v>
                </c:pt>
                <c:pt idx="65">
                  <c:v>3.5513888888888889</c:v>
                </c:pt>
                <c:pt idx="66">
                  <c:v>4.208333333333333</c:v>
                </c:pt>
                <c:pt idx="67">
                  <c:v>4.4138888888888888</c:v>
                </c:pt>
                <c:pt idx="68">
                  <c:v>4.3944444444444448</c:v>
                </c:pt>
                <c:pt idx="69">
                  <c:v>4.0736111111111111</c:v>
                </c:pt>
                <c:pt idx="70">
                  <c:v>4.25</c:v>
                </c:pt>
                <c:pt idx="71">
                  <c:v>3.4263888888888889</c:v>
                </c:pt>
                <c:pt idx="72">
                  <c:v>4.5305555555555559</c:v>
                </c:pt>
                <c:pt idx="73">
                  <c:v>4.520833333333333</c:v>
                </c:pt>
                <c:pt idx="74">
                  <c:v>3.3430555555555559</c:v>
                </c:pt>
                <c:pt idx="75">
                  <c:v>3.7388888888888889</c:v>
                </c:pt>
                <c:pt idx="76">
                  <c:v>4.5819444444444448</c:v>
                </c:pt>
                <c:pt idx="77">
                  <c:v>4.8347222222222221</c:v>
                </c:pt>
                <c:pt idx="78">
                  <c:v>4.4083333333333332</c:v>
                </c:pt>
                <c:pt idx="79">
                  <c:v>4.4013888888888886</c:v>
                </c:pt>
                <c:pt idx="80">
                  <c:v>3.3736111111111109</c:v>
                </c:pt>
                <c:pt idx="81">
                  <c:v>4.5277777777777777</c:v>
                </c:pt>
                <c:pt idx="82">
                  <c:v>4.2763888888888886</c:v>
                </c:pt>
                <c:pt idx="83">
                  <c:v>4.3527777777777779</c:v>
                </c:pt>
                <c:pt idx="84">
                  <c:v>3.4638888888888886</c:v>
                </c:pt>
                <c:pt idx="85">
                  <c:v>3.9027777777777777</c:v>
                </c:pt>
                <c:pt idx="86">
                  <c:v>4.8250000000000002</c:v>
                </c:pt>
                <c:pt idx="87">
                  <c:v>4.4152777777777779</c:v>
                </c:pt>
                <c:pt idx="88">
                  <c:v>3.3638888888888889</c:v>
                </c:pt>
                <c:pt idx="89">
                  <c:v>3.5347222222222223</c:v>
                </c:pt>
                <c:pt idx="90">
                  <c:v>3.7319444444444443</c:v>
                </c:pt>
                <c:pt idx="91">
                  <c:v>3.2041666666666666</c:v>
                </c:pt>
                <c:pt idx="92">
                  <c:v>3.9166666666666665</c:v>
                </c:pt>
                <c:pt idx="93">
                  <c:v>4.0791666666666666</c:v>
                </c:pt>
                <c:pt idx="94">
                  <c:v>3.9722222222222223</c:v>
                </c:pt>
                <c:pt idx="95">
                  <c:v>3.9874999999999998</c:v>
                </c:pt>
                <c:pt idx="96">
                  <c:v>4.3555555555555552</c:v>
                </c:pt>
                <c:pt idx="97">
                  <c:v>3.7694444444444444</c:v>
                </c:pt>
                <c:pt idx="98">
                  <c:v>3.3069444444444445</c:v>
                </c:pt>
                <c:pt idx="99">
                  <c:v>3.5013888888888891</c:v>
                </c:pt>
                <c:pt idx="100">
                  <c:v>4.1597222222222223</c:v>
                </c:pt>
                <c:pt idx="101">
                  <c:v>4.3277777777777775</c:v>
                </c:pt>
                <c:pt idx="102">
                  <c:v>4.3458333333333332</c:v>
                </c:pt>
                <c:pt idx="103">
                  <c:v>3.9041666666666663</c:v>
                </c:pt>
                <c:pt idx="104">
                  <c:v>3.5888888888888886</c:v>
                </c:pt>
                <c:pt idx="105">
                  <c:v>4.0027777777777782</c:v>
                </c:pt>
                <c:pt idx="106">
                  <c:v>3.1055555555555556</c:v>
                </c:pt>
                <c:pt idx="107">
                  <c:v>4.0652777777777782</c:v>
                </c:pt>
                <c:pt idx="108">
                  <c:v>3.8916666666666666</c:v>
                </c:pt>
                <c:pt idx="109">
                  <c:v>4.0402777777777779</c:v>
                </c:pt>
                <c:pt idx="110">
                  <c:v>4.2930555555555552</c:v>
                </c:pt>
                <c:pt idx="111">
                  <c:v>3.7472222222222222</c:v>
                </c:pt>
                <c:pt idx="112">
                  <c:v>4.1763888888888889</c:v>
                </c:pt>
                <c:pt idx="113">
                  <c:v>3.9222222222222221</c:v>
                </c:pt>
                <c:pt idx="114">
                  <c:v>4.2305555555555552</c:v>
                </c:pt>
                <c:pt idx="115">
                  <c:v>3.6444444444444444</c:v>
                </c:pt>
                <c:pt idx="116">
                  <c:v>4.7013888888888893</c:v>
                </c:pt>
                <c:pt idx="117">
                  <c:v>3.4333333333333336</c:v>
                </c:pt>
                <c:pt idx="118">
                  <c:v>3.6437499999999998</c:v>
                </c:pt>
                <c:pt idx="119">
                  <c:v>3.2055555555555557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1-413D-B39B-4D1AE9871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2368"/>
        <c:axId val="53603328"/>
      </c:scatterChart>
      <c:valAx>
        <c:axId val="5360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Ambition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3328"/>
        <c:crosses val="autoZero"/>
        <c:crossBetween val="midCat"/>
      </c:valAx>
      <c:valAx>
        <c:axId val="5360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Final</a:t>
                </a:r>
                <a:r>
                  <a:rPr lang="en-US" b="0" baseline="0"/>
                  <a:t> Performence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Emotional Stability</a:t>
            </a:r>
            <a:r>
              <a:rPr lang="en-US"/>
              <a:t> </a:t>
            </a:r>
            <a:r>
              <a:rPr lang="en-US" b="1"/>
              <a:t>vs</a:t>
            </a:r>
            <a:r>
              <a:rPr lang="en-US"/>
              <a:t> </a:t>
            </a:r>
            <a:r>
              <a:rPr lang="en-US" b="1"/>
              <a:t>Employee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Final Performance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Sales!$G$2:$G$121</c:f>
              <c:numCache>
                <c:formatCode>0</c:formatCode>
                <c:ptCount val="120"/>
                <c:pt idx="0">
                  <c:v>68</c:v>
                </c:pt>
                <c:pt idx="1">
                  <c:v>60</c:v>
                </c:pt>
                <c:pt idx="2">
                  <c:v>70</c:v>
                </c:pt>
                <c:pt idx="3">
                  <c:v>50</c:v>
                </c:pt>
                <c:pt idx="4">
                  <c:v>53</c:v>
                </c:pt>
                <c:pt idx="5">
                  <c:v>45</c:v>
                </c:pt>
                <c:pt idx="6">
                  <c:v>55</c:v>
                </c:pt>
                <c:pt idx="7">
                  <c:v>42</c:v>
                </c:pt>
                <c:pt idx="8">
                  <c:v>93</c:v>
                </c:pt>
                <c:pt idx="9">
                  <c:v>64</c:v>
                </c:pt>
                <c:pt idx="10">
                  <c:v>97</c:v>
                </c:pt>
                <c:pt idx="11">
                  <c:v>70</c:v>
                </c:pt>
                <c:pt idx="12">
                  <c:v>88</c:v>
                </c:pt>
                <c:pt idx="13">
                  <c:v>44</c:v>
                </c:pt>
                <c:pt idx="14">
                  <c:v>47</c:v>
                </c:pt>
                <c:pt idx="15">
                  <c:v>54</c:v>
                </c:pt>
                <c:pt idx="16">
                  <c:v>97</c:v>
                </c:pt>
                <c:pt idx="17">
                  <c:v>91</c:v>
                </c:pt>
                <c:pt idx="18">
                  <c:v>44</c:v>
                </c:pt>
                <c:pt idx="19">
                  <c:v>58</c:v>
                </c:pt>
                <c:pt idx="20">
                  <c:v>68</c:v>
                </c:pt>
                <c:pt idx="21">
                  <c:v>61</c:v>
                </c:pt>
                <c:pt idx="22">
                  <c:v>48</c:v>
                </c:pt>
                <c:pt idx="23">
                  <c:v>43</c:v>
                </c:pt>
                <c:pt idx="24">
                  <c:v>74</c:v>
                </c:pt>
                <c:pt idx="25">
                  <c:v>44</c:v>
                </c:pt>
                <c:pt idx="26">
                  <c:v>52</c:v>
                </c:pt>
                <c:pt idx="27">
                  <c:v>55</c:v>
                </c:pt>
                <c:pt idx="28">
                  <c:v>44</c:v>
                </c:pt>
                <c:pt idx="29">
                  <c:v>75</c:v>
                </c:pt>
                <c:pt idx="30">
                  <c:v>57</c:v>
                </c:pt>
                <c:pt idx="31">
                  <c:v>60</c:v>
                </c:pt>
                <c:pt idx="32">
                  <c:v>45</c:v>
                </c:pt>
                <c:pt idx="33">
                  <c:v>67</c:v>
                </c:pt>
                <c:pt idx="34">
                  <c:v>60</c:v>
                </c:pt>
                <c:pt idx="35">
                  <c:v>44</c:v>
                </c:pt>
                <c:pt idx="36">
                  <c:v>76</c:v>
                </c:pt>
                <c:pt idx="37">
                  <c:v>41</c:v>
                </c:pt>
                <c:pt idx="38">
                  <c:v>73</c:v>
                </c:pt>
                <c:pt idx="39">
                  <c:v>51</c:v>
                </c:pt>
                <c:pt idx="40">
                  <c:v>69</c:v>
                </c:pt>
                <c:pt idx="41">
                  <c:v>73</c:v>
                </c:pt>
                <c:pt idx="42">
                  <c:v>47</c:v>
                </c:pt>
                <c:pt idx="43">
                  <c:v>90</c:v>
                </c:pt>
                <c:pt idx="44">
                  <c:v>62</c:v>
                </c:pt>
                <c:pt idx="45">
                  <c:v>67</c:v>
                </c:pt>
                <c:pt idx="46">
                  <c:v>63</c:v>
                </c:pt>
                <c:pt idx="47">
                  <c:v>38</c:v>
                </c:pt>
                <c:pt idx="48">
                  <c:v>72</c:v>
                </c:pt>
                <c:pt idx="49">
                  <c:v>77</c:v>
                </c:pt>
                <c:pt idx="50">
                  <c:v>60</c:v>
                </c:pt>
                <c:pt idx="51">
                  <c:v>29</c:v>
                </c:pt>
                <c:pt idx="52">
                  <c:v>42</c:v>
                </c:pt>
                <c:pt idx="53">
                  <c:v>76</c:v>
                </c:pt>
                <c:pt idx="54">
                  <c:v>75</c:v>
                </c:pt>
                <c:pt idx="55">
                  <c:v>69</c:v>
                </c:pt>
                <c:pt idx="56">
                  <c:v>68</c:v>
                </c:pt>
                <c:pt idx="57">
                  <c:v>63</c:v>
                </c:pt>
                <c:pt idx="58">
                  <c:v>36</c:v>
                </c:pt>
                <c:pt idx="59">
                  <c:v>66</c:v>
                </c:pt>
                <c:pt idx="60">
                  <c:v>64</c:v>
                </c:pt>
                <c:pt idx="61">
                  <c:v>61</c:v>
                </c:pt>
                <c:pt idx="62">
                  <c:v>68</c:v>
                </c:pt>
                <c:pt idx="63">
                  <c:v>48</c:v>
                </c:pt>
                <c:pt idx="64">
                  <c:v>41</c:v>
                </c:pt>
                <c:pt idx="65">
                  <c:v>82</c:v>
                </c:pt>
                <c:pt idx="66">
                  <c:v>47</c:v>
                </c:pt>
                <c:pt idx="67">
                  <c:v>86</c:v>
                </c:pt>
                <c:pt idx="68">
                  <c:v>47</c:v>
                </c:pt>
                <c:pt idx="69">
                  <c:v>51</c:v>
                </c:pt>
                <c:pt idx="70">
                  <c:v>43</c:v>
                </c:pt>
                <c:pt idx="71">
                  <c:v>32</c:v>
                </c:pt>
                <c:pt idx="72">
                  <c:v>66</c:v>
                </c:pt>
                <c:pt idx="73">
                  <c:v>78</c:v>
                </c:pt>
                <c:pt idx="74">
                  <c:v>69</c:v>
                </c:pt>
                <c:pt idx="75">
                  <c:v>57</c:v>
                </c:pt>
                <c:pt idx="76">
                  <c:v>72</c:v>
                </c:pt>
                <c:pt idx="77">
                  <c:v>72</c:v>
                </c:pt>
                <c:pt idx="78">
                  <c:v>44</c:v>
                </c:pt>
                <c:pt idx="79">
                  <c:v>66</c:v>
                </c:pt>
                <c:pt idx="80">
                  <c:v>65</c:v>
                </c:pt>
                <c:pt idx="81">
                  <c:v>78</c:v>
                </c:pt>
                <c:pt idx="82">
                  <c:v>43</c:v>
                </c:pt>
                <c:pt idx="83">
                  <c:v>75</c:v>
                </c:pt>
                <c:pt idx="84">
                  <c:v>58</c:v>
                </c:pt>
                <c:pt idx="85">
                  <c:v>51</c:v>
                </c:pt>
                <c:pt idx="86">
                  <c:v>55</c:v>
                </c:pt>
                <c:pt idx="87">
                  <c:v>71</c:v>
                </c:pt>
                <c:pt idx="88">
                  <c:v>55</c:v>
                </c:pt>
                <c:pt idx="89">
                  <c:v>74</c:v>
                </c:pt>
                <c:pt idx="90">
                  <c:v>41</c:v>
                </c:pt>
                <c:pt idx="91">
                  <c:v>42</c:v>
                </c:pt>
                <c:pt idx="92">
                  <c:v>74</c:v>
                </c:pt>
                <c:pt idx="93">
                  <c:v>69</c:v>
                </c:pt>
                <c:pt idx="94">
                  <c:v>57</c:v>
                </c:pt>
                <c:pt idx="95">
                  <c:v>48</c:v>
                </c:pt>
                <c:pt idx="96">
                  <c:v>44</c:v>
                </c:pt>
                <c:pt idx="97">
                  <c:v>83</c:v>
                </c:pt>
                <c:pt idx="98">
                  <c:v>64</c:v>
                </c:pt>
                <c:pt idx="99">
                  <c:v>35</c:v>
                </c:pt>
                <c:pt idx="100">
                  <c:v>56</c:v>
                </c:pt>
                <c:pt idx="101">
                  <c:v>50</c:v>
                </c:pt>
                <c:pt idx="102">
                  <c:v>69</c:v>
                </c:pt>
                <c:pt idx="103">
                  <c:v>62</c:v>
                </c:pt>
                <c:pt idx="104">
                  <c:v>45</c:v>
                </c:pt>
                <c:pt idx="105">
                  <c:v>35</c:v>
                </c:pt>
                <c:pt idx="106">
                  <c:v>53</c:v>
                </c:pt>
                <c:pt idx="107">
                  <c:v>54</c:v>
                </c:pt>
                <c:pt idx="108">
                  <c:v>39</c:v>
                </c:pt>
                <c:pt idx="109">
                  <c:v>64</c:v>
                </c:pt>
                <c:pt idx="110">
                  <c:v>62</c:v>
                </c:pt>
                <c:pt idx="111">
                  <c:v>51</c:v>
                </c:pt>
                <c:pt idx="112">
                  <c:v>52</c:v>
                </c:pt>
                <c:pt idx="113">
                  <c:v>47</c:v>
                </c:pt>
                <c:pt idx="114">
                  <c:v>68</c:v>
                </c:pt>
                <c:pt idx="115">
                  <c:v>61</c:v>
                </c:pt>
                <c:pt idx="116">
                  <c:v>64</c:v>
                </c:pt>
                <c:pt idx="117">
                  <c:v>56</c:v>
                </c:pt>
                <c:pt idx="118">
                  <c:v>66</c:v>
                </c:pt>
                <c:pt idx="119">
                  <c:v>73</c:v>
                </c:pt>
              </c:numCache>
            </c:numRef>
          </c:xVal>
          <c:yVal>
            <c:numRef>
              <c:f>Sales!$M$2:$M$121</c:f>
              <c:numCache>
                <c:formatCode>0.00</c:formatCode>
                <c:ptCount val="120"/>
                <c:pt idx="0">
                  <c:v>4.2236111111111114</c:v>
                </c:pt>
                <c:pt idx="1">
                  <c:v>4.5486111111111107</c:v>
                </c:pt>
                <c:pt idx="2">
                  <c:v>4.2638888888888893</c:v>
                </c:pt>
                <c:pt idx="3">
                  <c:v>4.2458333333333336</c:v>
                </c:pt>
                <c:pt idx="4">
                  <c:v>3.6847222222222222</c:v>
                </c:pt>
                <c:pt idx="5">
                  <c:v>2.8527777777777779</c:v>
                </c:pt>
                <c:pt idx="6">
                  <c:v>4.0125000000000002</c:v>
                </c:pt>
                <c:pt idx="7">
                  <c:v>4.3986111111111112</c:v>
                </c:pt>
                <c:pt idx="8">
                  <c:v>4.7888888888888888</c:v>
                </c:pt>
                <c:pt idx="9">
                  <c:v>3.4013888888888886</c:v>
                </c:pt>
                <c:pt idx="10">
                  <c:v>4.7666666666666666</c:v>
                </c:pt>
                <c:pt idx="11">
                  <c:v>4.666666666666667</c:v>
                </c:pt>
                <c:pt idx="12">
                  <c:v>4.9375</c:v>
                </c:pt>
                <c:pt idx="13">
                  <c:v>4.2555555555555555</c:v>
                </c:pt>
                <c:pt idx="14">
                  <c:v>3.3958333333333335</c:v>
                </c:pt>
                <c:pt idx="15">
                  <c:v>4.4388888888888882</c:v>
                </c:pt>
                <c:pt idx="16">
                  <c:v>4.6694444444444443</c:v>
                </c:pt>
                <c:pt idx="17">
                  <c:v>3.6541666666666668</c:v>
                </c:pt>
                <c:pt idx="18">
                  <c:v>4.3041666666666671</c:v>
                </c:pt>
                <c:pt idx="19">
                  <c:v>3.2541666666666664</c:v>
                </c:pt>
                <c:pt idx="20">
                  <c:v>3.8486111111111114</c:v>
                </c:pt>
                <c:pt idx="21">
                  <c:v>3.3333333333333335</c:v>
                </c:pt>
                <c:pt idx="22">
                  <c:v>4.2402777777777771</c:v>
                </c:pt>
                <c:pt idx="23">
                  <c:v>4.3583333333333334</c:v>
                </c:pt>
                <c:pt idx="24">
                  <c:v>4.2902777777777779</c:v>
                </c:pt>
                <c:pt idx="25">
                  <c:v>4.5611111111111118</c:v>
                </c:pt>
                <c:pt idx="26">
                  <c:v>4.4111111111111114</c:v>
                </c:pt>
                <c:pt idx="27">
                  <c:v>3.9847222222222225</c:v>
                </c:pt>
                <c:pt idx="28">
                  <c:v>4.2652777777777775</c:v>
                </c:pt>
                <c:pt idx="29">
                  <c:v>4.7666666666666666</c:v>
                </c:pt>
                <c:pt idx="30">
                  <c:v>3.7861111111111114</c:v>
                </c:pt>
                <c:pt idx="31">
                  <c:v>4.3986111111111112</c:v>
                </c:pt>
                <c:pt idx="32">
                  <c:v>4.9722222222222223</c:v>
                </c:pt>
                <c:pt idx="33">
                  <c:v>4.5687499999999996</c:v>
                </c:pt>
                <c:pt idx="34">
                  <c:v>3.1875</c:v>
                </c:pt>
                <c:pt idx="35">
                  <c:v>3.5013888888888891</c:v>
                </c:pt>
                <c:pt idx="36">
                  <c:v>3.8777777777777778</c:v>
                </c:pt>
                <c:pt idx="37">
                  <c:v>3.6875</c:v>
                </c:pt>
                <c:pt idx="38">
                  <c:v>3.8791666666666664</c:v>
                </c:pt>
                <c:pt idx="39">
                  <c:v>3.6013888888888888</c:v>
                </c:pt>
                <c:pt idx="40">
                  <c:v>4.5111111111111111</c:v>
                </c:pt>
                <c:pt idx="41">
                  <c:v>3.2083333333333335</c:v>
                </c:pt>
                <c:pt idx="42">
                  <c:v>4.1694444444444443</c:v>
                </c:pt>
                <c:pt idx="43">
                  <c:v>4.875</c:v>
                </c:pt>
                <c:pt idx="44">
                  <c:v>4.3347222222222221</c:v>
                </c:pt>
                <c:pt idx="45">
                  <c:v>4.1402777777777775</c:v>
                </c:pt>
                <c:pt idx="46">
                  <c:v>4.8250000000000002</c:v>
                </c:pt>
                <c:pt idx="47">
                  <c:v>4.3208333333333329</c:v>
                </c:pt>
                <c:pt idx="48">
                  <c:v>3.6722222222222221</c:v>
                </c:pt>
                <c:pt idx="49">
                  <c:v>4.0222222222222221</c:v>
                </c:pt>
                <c:pt idx="50">
                  <c:v>4.2777777777777777</c:v>
                </c:pt>
                <c:pt idx="51">
                  <c:v>4.1749999999999998</c:v>
                </c:pt>
                <c:pt idx="52">
                  <c:v>3.4916666666666667</c:v>
                </c:pt>
                <c:pt idx="53">
                  <c:v>3.4763888888888888</c:v>
                </c:pt>
                <c:pt idx="54">
                  <c:v>3.6736111111111112</c:v>
                </c:pt>
                <c:pt idx="55">
                  <c:v>4.2972222222222225</c:v>
                </c:pt>
                <c:pt idx="56">
                  <c:v>4.6444444444444448</c:v>
                </c:pt>
                <c:pt idx="57">
                  <c:v>4.2236111111111114</c:v>
                </c:pt>
                <c:pt idx="58">
                  <c:v>3.5611111111111109</c:v>
                </c:pt>
                <c:pt idx="59">
                  <c:v>4.0250000000000004</c:v>
                </c:pt>
                <c:pt idx="60">
                  <c:v>4.7472222222222218</c:v>
                </c:pt>
                <c:pt idx="61">
                  <c:v>4.0027777777777782</c:v>
                </c:pt>
                <c:pt idx="62">
                  <c:v>4.208333333333333</c:v>
                </c:pt>
                <c:pt idx="63">
                  <c:v>4.4819444444444443</c:v>
                </c:pt>
                <c:pt idx="64">
                  <c:v>4.1041666666666661</c:v>
                </c:pt>
                <c:pt idx="65">
                  <c:v>3.5513888888888889</c:v>
                </c:pt>
                <c:pt idx="66">
                  <c:v>4.208333333333333</c:v>
                </c:pt>
                <c:pt idx="67">
                  <c:v>4.4138888888888888</c:v>
                </c:pt>
                <c:pt idx="68">
                  <c:v>4.3944444444444448</c:v>
                </c:pt>
                <c:pt idx="69">
                  <c:v>4.0736111111111111</c:v>
                </c:pt>
                <c:pt idx="70">
                  <c:v>4.25</c:v>
                </c:pt>
                <c:pt idx="71">
                  <c:v>3.4263888888888889</c:v>
                </c:pt>
                <c:pt idx="72">
                  <c:v>4.5305555555555559</c:v>
                </c:pt>
                <c:pt idx="73">
                  <c:v>4.520833333333333</c:v>
                </c:pt>
                <c:pt idx="74">
                  <c:v>3.3430555555555559</c:v>
                </c:pt>
                <c:pt idx="75">
                  <c:v>3.7388888888888889</c:v>
                </c:pt>
                <c:pt idx="76">
                  <c:v>4.5819444444444448</c:v>
                </c:pt>
                <c:pt idx="77">
                  <c:v>4.8347222222222221</c:v>
                </c:pt>
                <c:pt idx="78">
                  <c:v>4.4083333333333332</c:v>
                </c:pt>
                <c:pt idx="79">
                  <c:v>4.4013888888888886</c:v>
                </c:pt>
                <c:pt idx="80">
                  <c:v>3.3736111111111109</c:v>
                </c:pt>
                <c:pt idx="81">
                  <c:v>4.5277777777777777</c:v>
                </c:pt>
                <c:pt idx="82">
                  <c:v>4.2763888888888886</c:v>
                </c:pt>
                <c:pt idx="83">
                  <c:v>4.3527777777777779</c:v>
                </c:pt>
                <c:pt idx="84">
                  <c:v>3.4638888888888886</c:v>
                </c:pt>
                <c:pt idx="85">
                  <c:v>3.9027777777777777</c:v>
                </c:pt>
                <c:pt idx="86">
                  <c:v>4.8250000000000002</c:v>
                </c:pt>
                <c:pt idx="87">
                  <c:v>4.4152777777777779</c:v>
                </c:pt>
                <c:pt idx="88">
                  <c:v>3.3638888888888889</c:v>
                </c:pt>
                <c:pt idx="89">
                  <c:v>3.5347222222222223</c:v>
                </c:pt>
                <c:pt idx="90">
                  <c:v>3.7319444444444443</c:v>
                </c:pt>
                <c:pt idx="91">
                  <c:v>3.2041666666666666</c:v>
                </c:pt>
                <c:pt idx="92">
                  <c:v>3.9166666666666665</c:v>
                </c:pt>
                <c:pt idx="93">
                  <c:v>4.0791666666666666</c:v>
                </c:pt>
                <c:pt idx="94">
                  <c:v>3.9722222222222223</c:v>
                </c:pt>
                <c:pt idx="95">
                  <c:v>3.9874999999999998</c:v>
                </c:pt>
                <c:pt idx="96">
                  <c:v>4.3555555555555552</c:v>
                </c:pt>
                <c:pt idx="97">
                  <c:v>3.7694444444444444</c:v>
                </c:pt>
                <c:pt idx="98">
                  <c:v>3.3069444444444445</c:v>
                </c:pt>
                <c:pt idx="99">
                  <c:v>3.5013888888888891</c:v>
                </c:pt>
                <c:pt idx="100">
                  <c:v>4.1597222222222223</c:v>
                </c:pt>
                <c:pt idx="101">
                  <c:v>4.3277777777777775</c:v>
                </c:pt>
                <c:pt idx="102">
                  <c:v>4.3458333333333332</c:v>
                </c:pt>
                <c:pt idx="103">
                  <c:v>3.9041666666666663</c:v>
                </c:pt>
                <c:pt idx="104">
                  <c:v>3.5888888888888886</c:v>
                </c:pt>
                <c:pt idx="105">
                  <c:v>4.0027777777777782</c:v>
                </c:pt>
                <c:pt idx="106">
                  <c:v>3.1055555555555556</c:v>
                </c:pt>
                <c:pt idx="107">
                  <c:v>4.0652777777777782</c:v>
                </c:pt>
                <c:pt idx="108">
                  <c:v>3.8916666666666666</c:v>
                </c:pt>
                <c:pt idx="109">
                  <c:v>4.0402777777777779</c:v>
                </c:pt>
                <c:pt idx="110">
                  <c:v>4.2930555555555552</c:v>
                </c:pt>
                <c:pt idx="111">
                  <c:v>3.7472222222222222</c:v>
                </c:pt>
                <c:pt idx="112">
                  <c:v>4.1763888888888889</c:v>
                </c:pt>
                <c:pt idx="113">
                  <c:v>3.9222222222222221</c:v>
                </c:pt>
                <c:pt idx="114">
                  <c:v>4.2305555555555552</c:v>
                </c:pt>
                <c:pt idx="115">
                  <c:v>3.6444444444444444</c:v>
                </c:pt>
                <c:pt idx="116">
                  <c:v>4.7013888888888893</c:v>
                </c:pt>
                <c:pt idx="117">
                  <c:v>3.4333333333333336</c:v>
                </c:pt>
                <c:pt idx="118">
                  <c:v>3.6437499999999998</c:v>
                </c:pt>
                <c:pt idx="119">
                  <c:v>3.2055555555555557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2-41EF-86A3-8102ABB0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188112"/>
        <c:axId val="1500519120"/>
      </c:scatterChart>
      <c:valAx>
        <c:axId val="15791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Emotional</a:t>
                </a:r>
                <a:r>
                  <a:rPr lang="en-US" baseline="0"/>
                  <a:t> Stability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19120"/>
        <c:crosses val="autoZero"/>
        <c:crossBetween val="midCat"/>
      </c:valAx>
      <c:valAx>
        <c:axId val="15005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</a:t>
                </a:r>
                <a:r>
                  <a:rPr lang="en-US" baseline="0"/>
                  <a:t> Performence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[hr_analytics_Excel_Project Data.xlsx]Sheet2!PivotTable1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565113735783029"/>
          <c:y val="0.28643299795858851"/>
          <c:w val="0.3952331583552056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 past experience</c:v>
                </c:pt>
                <c:pt idx="1">
                  <c:v>Some past experience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3.9382826278659611</c:v>
                </c:pt>
                <c:pt idx="1">
                  <c:v>4.1861476608187145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2-46B7-BA0F-06222FBB3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18848"/>
        <c:axId val="53519328"/>
      </c:barChart>
      <c:catAx>
        <c:axId val="5351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328"/>
        <c:crosses val="autoZero"/>
        <c:auto val="1"/>
        <c:lblAlgn val="ctr"/>
        <c:lblOffset val="100"/>
        <c:noMultiLvlLbl val="0"/>
      </c:catAx>
      <c:valAx>
        <c:axId val="5351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642937</xdr:colOff>
      <xdr:row>16</xdr:row>
      <xdr:rowOff>0</xdr:rowOff>
    </xdr:from>
    <xdr:to>
      <xdr:col>8</xdr:col>
      <xdr:colOff>23812</xdr:colOff>
      <xdr:row>29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62BA8-F535-4078-A74C-648237B22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54769</xdr:colOff>
      <xdr:row>14</xdr:row>
      <xdr:rowOff>147638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A9CD78-D1CB-47B2-806A-89701EFAE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0</xdr:row>
      <xdr:rowOff>180974</xdr:rowOff>
    </xdr:from>
    <xdr:to>
      <xdr:col>7</xdr:col>
      <xdr:colOff>638175</xdr:colOff>
      <xdr:row>15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9C6E72-C93F-48F3-AE6E-F8CCDD1D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2</xdr:row>
      <xdr:rowOff>4763</xdr:rowOff>
    </xdr:from>
    <xdr:to>
      <xdr:col>10</xdr:col>
      <xdr:colOff>28574</xdr:colOff>
      <xdr:row>17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CDEC8-624C-1813-66FF-136A2A0B8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Shakin Rahman" refreshedDate="46128.74868287037" createdVersion="8" refreshedVersion="8" minRefreshableVersion="3" recordCount="120" xr:uid="{3841A429-5B3B-4CC1-AE32-C8A7230AB83A}">
  <cacheSource type="worksheet">
    <worksheetSource ref="A1:N121" sheet="Sales"/>
  </cacheSource>
  <cacheFields count="14">
    <cacheField name="ID" numFmtId="0">
      <sharedItems containsSemiMixedTypes="0" containsString="0" containsNumber="1" containsInteger="1" minValue="1" maxValue="120"/>
    </cacheField>
    <cacheField name="Sex at birth" numFmtId="1">
      <sharedItems/>
    </cacheField>
    <cacheField name="Age" numFmtId="1">
      <sharedItems containsSemiMixedTypes="0" containsString="0" containsNumber="1" containsInteger="1" minValue="18" maxValue="22"/>
    </cacheField>
    <cacheField name="Ethnicity" numFmtId="0">
      <sharedItems/>
    </cacheField>
    <cacheField name="Experience" numFmtId="1">
      <sharedItems count="2">
        <s v="No past experience"/>
        <s v="Some past experience"/>
      </sharedItems>
    </cacheField>
    <cacheField name="Extraversion" numFmtId="1">
      <sharedItems containsSemiMixedTypes="0" containsString="0" containsNumber="1" containsInteger="1" minValue="37" maxValue="96"/>
    </cacheField>
    <cacheField name="Emotional Stability" numFmtId="1">
      <sharedItems containsSemiMixedTypes="0" containsString="0" containsNumber="1" containsInteger="1" minValue="29" maxValue="97"/>
    </cacheField>
    <cacheField name="Ambition" numFmtId="1">
      <sharedItems containsSemiMixedTypes="0" containsString="0" containsNumber="1" containsInteger="1" minValue="39" maxValue="96"/>
    </cacheField>
    <cacheField name="Performance M1" numFmtId="2">
      <sharedItems containsSemiMixedTypes="0" containsString="0" containsNumber="1" minValue="2.2999999999999998" maxValue="5"/>
    </cacheField>
    <cacheField name="Performance M2" numFmtId="2">
      <sharedItems containsSemiMixedTypes="0" containsString="0" containsNumber="1" minValue="2.25" maxValue="5"/>
    </cacheField>
    <cacheField name="Performance M3" numFmtId="2">
      <sharedItems containsSemiMixedTypes="0" containsString="0" containsNumber="1" minValue="2.5555555555555554" maxValue="5"/>
    </cacheField>
    <cacheField name="Performance M4" numFmtId="2">
      <sharedItems containsSemiMixedTypes="0" containsString="0" containsNumber="1" minValue="2.5" maxValue="5"/>
    </cacheField>
    <cacheField name="Final Performance" numFmtId="2">
      <sharedItems containsSemiMixedTypes="0" containsString="0" containsNumber="1" minValue="2.8527777777777779" maxValue="4.9722222222222223"/>
    </cacheField>
    <cacheField name="Experience Nu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s v="Male"/>
    <n v="19"/>
    <s v="Black/African-American"/>
    <x v="0"/>
    <n v="80"/>
    <n v="68"/>
    <n v="75"/>
    <n v="4.2"/>
    <n v="4"/>
    <n v="4.4444444444444446"/>
    <n v="4.25"/>
    <n v="4.2236111111111114"/>
    <n v="0"/>
  </r>
  <r>
    <n v="2"/>
    <s v="Male"/>
    <n v="21"/>
    <s v="Black/African-American"/>
    <x v="0"/>
    <n v="76"/>
    <n v="60"/>
    <n v="69"/>
    <n v="4.5"/>
    <n v="4.75"/>
    <n v="4.4444444444444446"/>
    <n v="4.5"/>
    <n v="4.5486111111111107"/>
    <n v="0"/>
  </r>
  <r>
    <n v="3"/>
    <s v="Male"/>
    <n v="20"/>
    <s v="White"/>
    <x v="1"/>
    <n v="49"/>
    <n v="70"/>
    <n v="59"/>
    <n v="4"/>
    <n v="4.25"/>
    <n v="4.5555555555555554"/>
    <n v="4.25"/>
    <n v="4.2638888888888893"/>
    <n v="0"/>
  </r>
  <r>
    <n v="4"/>
    <s v="Female"/>
    <n v="18"/>
    <s v="White"/>
    <x v="1"/>
    <n v="71"/>
    <n v="50"/>
    <n v="56"/>
    <n v="4.4000000000000004"/>
    <n v="4.25"/>
    <n v="4.333333333333333"/>
    <n v="4"/>
    <n v="4.2458333333333336"/>
    <n v="0"/>
  </r>
  <r>
    <n v="5"/>
    <s v="Female"/>
    <n v="20"/>
    <s v="Asian"/>
    <x v="0"/>
    <n v="56"/>
    <n v="53"/>
    <n v="64"/>
    <n v="3.1"/>
    <n v="3.75"/>
    <n v="3.8888888888888888"/>
    <n v="4"/>
    <n v="3.6847222222222222"/>
    <n v="0"/>
  </r>
  <r>
    <n v="6"/>
    <s v="Female"/>
    <n v="19"/>
    <s v="White"/>
    <x v="0"/>
    <n v="63"/>
    <n v="45"/>
    <n v="64"/>
    <n v="2.2999999999999998"/>
    <n v="3"/>
    <n v="3.1111111111111112"/>
    <n v="3"/>
    <n v="2.8527777777777779"/>
    <n v="0"/>
  </r>
  <r>
    <n v="7"/>
    <s v="Female"/>
    <n v="21"/>
    <s v="White"/>
    <x v="1"/>
    <n v="65"/>
    <n v="55"/>
    <n v="69"/>
    <n v="3.8"/>
    <n v="4.25"/>
    <n v="4"/>
    <n v="4"/>
    <n v="4.0125000000000002"/>
    <n v="0"/>
  </r>
  <r>
    <n v="8"/>
    <s v="Male"/>
    <n v="20"/>
    <s v="White"/>
    <x v="1"/>
    <n v="93"/>
    <n v="42"/>
    <n v="75"/>
    <n v="4.4000000000000004"/>
    <n v="4"/>
    <n v="4.4444444444444446"/>
    <n v="4.75"/>
    <n v="4.3986111111111112"/>
    <n v="0"/>
  </r>
  <r>
    <n v="9"/>
    <s v="Male"/>
    <n v="20"/>
    <s v="White"/>
    <x v="0"/>
    <n v="56"/>
    <n v="93"/>
    <n v="62"/>
    <n v="4.5999999999999996"/>
    <n v="5"/>
    <n v="4.5555555555555554"/>
    <n v="5"/>
    <n v="4.7888888888888888"/>
    <n v="0"/>
  </r>
  <r>
    <n v="10"/>
    <s v="Male"/>
    <n v="19"/>
    <s v="Black/African-American"/>
    <x v="0"/>
    <n v="67"/>
    <n v="64"/>
    <n v="61"/>
    <n v="3.3"/>
    <n v="3.75"/>
    <n v="3.5555555555555554"/>
    <n v="3"/>
    <n v="3.4013888888888886"/>
    <n v="0"/>
  </r>
  <r>
    <n v="11"/>
    <s v="Male"/>
    <n v="18"/>
    <s v="White"/>
    <x v="1"/>
    <n v="85"/>
    <n v="97"/>
    <n v="70"/>
    <n v="4.4000000000000004"/>
    <n v="5"/>
    <n v="4.666666666666667"/>
    <n v="5"/>
    <n v="4.7666666666666666"/>
    <n v="0"/>
  </r>
  <r>
    <n v="12"/>
    <s v="Female"/>
    <n v="21"/>
    <s v="White"/>
    <x v="0"/>
    <n v="57"/>
    <n v="70"/>
    <n v="68"/>
    <n v="4.5"/>
    <n v="4.5"/>
    <n v="4.666666666666667"/>
    <n v="5"/>
    <n v="4.666666666666667"/>
    <n v="0"/>
  </r>
  <r>
    <n v="13"/>
    <s v="Male"/>
    <n v="20"/>
    <s v="Black/African-American"/>
    <x v="1"/>
    <n v="81"/>
    <n v="88"/>
    <n v="39"/>
    <n v="5"/>
    <n v="4.75"/>
    <n v="5"/>
    <n v="5"/>
    <n v="4.9375"/>
    <n v="0"/>
  </r>
  <r>
    <n v="14"/>
    <s v="Male"/>
    <n v="20"/>
    <s v="Hispanic"/>
    <x v="1"/>
    <n v="78"/>
    <n v="44"/>
    <n v="58"/>
    <n v="3.8"/>
    <n v="4.25"/>
    <n v="4.2222222222222223"/>
    <n v="4.75"/>
    <n v="4.2555555555555555"/>
    <n v="0"/>
  </r>
  <r>
    <n v="15"/>
    <s v="Female"/>
    <n v="19"/>
    <s v="Black/African-American"/>
    <x v="0"/>
    <n v="46"/>
    <n v="47"/>
    <n v="54"/>
    <n v="3.5"/>
    <n v="2.75"/>
    <n v="3.3333333333333335"/>
    <n v="4"/>
    <n v="3.3958333333333335"/>
    <n v="0"/>
  </r>
  <r>
    <n v="16"/>
    <s v="Male"/>
    <n v="20"/>
    <s v="Black/African-American"/>
    <x v="0"/>
    <n v="57"/>
    <n v="54"/>
    <n v="55"/>
    <n v="4.7"/>
    <n v="3.5"/>
    <n v="4.5555555555555554"/>
    <n v="5"/>
    <n v="4.4388888888888882"/>
    <n v="0"/>
  </r>
  <r>
    <n v="17"/>
    <s v="Female"/>
    <n v="19"/>
    <s v="Black/African-American"/>
    <x v="1"/>
    <n v="62"/>
    <n v="97"/>
    <n v="65"/>
    <n v="4.4000000000000004"/>
    <n v="4.75"/>
    <n v="4.7777777777777777"/>
    <n v="4.75"/>
    <n v="4.6694444444444443"/>
    <n v="0"/>
  </r>
  <r>
    <n v="18"/>
    <s v="Male"/>
    <n v="20"/>
    <s v="White"/>
    <x v="0"/>
    <n v="51"/>
    <n v="91"/>
    <n v="78"/>
    <n v="2.7"/>
    <n v="3.5"/>
    <n v="3.6666666666666665"/>
    <n v="4.75"/>
    <n v="3.6541666666666668"/>
    <n v="0"/>
  </r>
  <r>
    <n v="19"/>
    <s v="Female"/>
    <n v="20"/>
    <s v="Asian"/>
    <x v="1"/>
    <n v="69"/>
    <n v="44"/>
    <n v="85"/>
    <n v="4.3"/>
    <n v="4"/>
    <n v="4.666666666666667"/>
    <n v="4.25"/>
    <n v="4.3041666666666671"/>
    <n v="0"/>
  </r>
  <r>
    <n v="20"/>
    <s v="Male"/>
    <n v="19"/>
    <s v="Black/African-American"/>
    <x v="0"/>
    <n v="56"/>
    <n v="58"/>
    <n v="50"/>
    <n v="2.6"/>
    <n v="4"/>
    <n v="3.6666666666666665"/>
    <n v="2.75"/>
    <n v="3.2541666666666664"/>
    <n v="0"/>
  </r>
  <r>
    <n v="21"/>
    <s v="Female"/>
    <n v="21"/>
    <s v="Asian"/>
    <x v="1"/>
    <n v="55"/>
    <n v="68"/>
    <n v="66"/>
    <n v="3.7"/>
    <n v="4.25"/>
    <n v="4.4444444444444446"/>
    <n v="3"/>
    <n v="3.8486111111111114"/>
    <n v="0"/>
  </r>
  <r>
    <n v="22"/>
    <s v="Female"/>
    <n v="21"/>
    <s v="White"/>
    <x v="1"/>
    <n v="83"/>
    <n v="61"/>
    <n v="61"/>
    <n v="3"/>
    <n v="3.75"/>
    <n v="3.3333333333333335"/>
    <n v="3.25"/>
    <n v="3.3333333333333335"/>
    <n v="0"/>
  </r>
  <r>
    <n v="23"/>
    <s v="Female"/>
    <n v="20"/>
    <s v="Black/African-American"/>
    <x v="0"/>
    <n v="55"/>
    <n v="48"/>
    <n v="56"/>
    <n v="4.5999999999999996"/>
    <n v="5"/>
    <n v="4.1111111111111107"/>
    <n v="3.25"/>
    <n v="4.2402777777777771"/>
    <n v="0"/>
  </r>
  <r>
    <n v="24"/>
    <s v="Female"/>
    <n v="21"/>
    <s v="Hispanic"/>
    <x v="0"/>
    <n v="80"/>
    <n v="43"/>
    <n v="75"/>
    <n v="4.0999999999999996"/>
    <n v="4.75"/>
    <n v="4.333333333333333"/>
    <n v="4.25"/>
    <n v="4.3583333333333334"/>
    <n v="0"/>
  </r>
  <r>
    <n v="25"/>
    <s v="Female"/>
    <n v="21"/>
    <s v="White"/>
    <x v="1"/>
    <n v="79"/>
    <n v="74"/>
    <n v="53"/>
    <n v="4.3"/>
    <n v="4.75"/>
    <n v="4.1111111111111107"/>
    <n v="4"/>
    <n v="4.2902777777777779"/>
    <n v="0"/>
  </r>
  <r>
    <n v="26"/>
    <s v="Male"/>
    <n v="21"/>
    <s v="Black/African-American"/>
    <x v="0"/>
    <n v="69"/>
    <n v="44"/>
    <n v="64"/>
    <n v="4.8"/>
    <n v="4.75"/>
    <n v="4.4444444444444446"/>
    <n v="4.25"/>
    <n v="4.5611111111111118"/>
    <n v="0"/>
  </r>
  <r>
    <n v="27"/>
    <s v="Male"/>
    <n v="20"/>
    <s v="Asian"/>
    <x v="1"/>
    <n v="76"/>
    <n v="52"/>
    <n v="66"/>
    <n v="4.7"/>
    <n v="4.5"/>
    <n v="4.4444444444444446"/>
    <n v="4"/>
    <n v="4.4111111111111114"/>
    <n v="0"/>
  </r>
  <r>
    <n v="28"/>
    <s v="Female"/>
    <n v="20"/>
    <s v="Hispanic"/>
    <x v="1"/>
    <n v="41"/>
    <n v="55"/>
    <n v="64"/>
    <n v="3.8"/>
    <n v="4.25"/>
    <n v="3.8888888888888888"/>
    <n v="4"/>
    <n v="3.9847222222222225"/>
    <n v="0"/>
  </r>
  <r>
    <n v="29"/>
    <s v="Male"/>
    <n v="20"/>
    <s v="White"/>
    <x v="1"/>
    <n v="77"/>
    <n v="44"/>
    <n v="58"/>
    <n v="4.2"/>
    <n v="4.5"/>
    <n v="4.1111111111111107"/>
    <n v="4.25"/>
    <n v="4.2652777777777775"/>
    <n v="0"/>
  </r>
  <r>
    <n v="30"/>
    <s v="Female"/>
    <n v="22"/>
    <s v="White"/>
    <x v="1"/>
    <n v="79"/>
    <n v="75"/>
    <n v="96"/>
    <n v="4.4000000000000004"/>
    <n v="5"/>
    <n v="4.666666666666667"/>
    <n v="5"/>
    <n v="4.7666666666666666"/>
    <n v="0"/>
  </r>
  <r>
    <n v="31"/>
    <s v="Female"/>
    <n v="20"/>
    <s v="Black/African-American"/>
    <x v="0"/>
    <n v="41"/>
    <n v="57"/>
    <n v="43"/>
    <n v="3.2"/>
    <n v="4.25"/>
    <n v="3.4444444444444446"/>
    <n v="4.25"/>
    <n v="3.7861111111111114"/>
    <n v="0"/>
  </r>
  <r>
    <n v="32"/>
    <s v="Male"/>
    <n v="19"/>
    <s v="Asian"/>
    <x v="1"/>
    <n v="79"/>
    <n v="60"/>
    <n v="76"/>
    <n v="4.4000000000000004"/>
    <n v="4.25"/>
    <n v="4.4444444444444446"/>
    <n v="4.5"/>
    <n v="4.3986111111111112"/>
    <n v="0"/>
  </r>
  <r>
    <n v="33"/>
    <s v="Female"/>
    <n v="21"/>
    <s v="White"/>
    <x v="1"/>
    <n v="83"/>
    <n v="45"/>
    <n v="57"/>
    <n v="5"/>
    <n v="5"/>
    <n v="4.8888888888888893"/>
    <n v="5"/>
    <n v="4.9722222222222223"/>
    <n v="0"/>
  </r>
  <r>
    <n v="34"/>
    <s v="Male"/>
    <n v="22"/>
    <s v="Black/African-American"/>
    <x v="0"/>
    <n v="81"/>
    <n v="67"/>
    <n v="76"/>
    <n v="3.9"/>
    <n v="5"/>
    <n v="4.625"/>
    <n v="4.75"/>
    <n v="4.5687499999999996"/>
    <n v="0"/>
  </r>
  <r>
    <n v="35"/>
    <s v="Male"/>
    <n v="20"/>
    <s v="Hispanic"/>
    <x v="1"/>
    <n v="60"/>
    <n v="60"/>
    <n v="52"/>
    <n v="2.8888888888888888"/>
    <n v="3.25"/>
    <n v="3.1111111111111112"/>
    <n v="3.5"/>
    <n v="3.1875"/>
    <n v="0"/>
  </r>
  <r>
    <n v="36"/>
    <s v="Male"/>
    <n v="21"/>
    <s v="Asian"/>
    <x v="0"/>
    <n v="72"/>
    <n v="44"/>
    <n v="62"/>
    <n v="3.7"/>
    <n v="3.25"/>
    <n v="3.5555555555555554"/>
    <n v="3.5"/>
    <n v="3.5013888888888891"/>
    <n v="0"/>
  </r>
  <r>
    <n v="37"/>
    <s v="Female"/>
    <n v="22"/>
    <s v="Asian"/>
    <x v="0"/>
    <n v="59"/>
    <n v="76"/>
    <n v="63"/>
    <n v="3.9"/>
    <n v="3.75"/>
    <n v="4.1111111111111107"/>
    <n v="3.75"/>
    <n v="3.8777777777777778"/>
    <n v="0"/>
  </r>
  <r>
    <n v="38"/>
    <s v="Female"/>
    <n v="19"/>
    <s v="Hispanic"/>
    <x v="0"/>
    <n v="37"/>
    <n v="41"/>
    <n v="65"/>
    <n v="3.5555555555555554"/>
    <n v="3.5"/>
    <n v="3.4444444444444446"/>
    <n v="4.25"/>
    <n v="3.6875"/>
    <n v="0"/>
  </r>
  <r>
    <n v="39"/>
    <s v="Female"/>
    <n v="19"/>
    <s v="Black/African-American"/>
    <x v="1"/>
    <n v="54"/>
    <n v="73"/>
    <n v="61"/>
    <n v="3.6"/>
    <n v="3.75"/>
    <n v="3.6666666666666665"/>
    <n v="4.5"/>
    <n v="3.8791666666666664"/>
    <n v="0"/>
  </r>
  <r>
    <n v="40"/>
    <s v="Male"/>
    <n v="20"/>
    <s v="Asian"/>
    <x v="0"/>
    <n v="51"/>
    <n v="51"/>
    <n v="69"/>
    <n v="3.6"/>
    <n v="3.5"/>
    <n v="3.5555555555555554"/>
    <n v="3.75"/>
    <n v="3.6013888888888888"/>
    <n v="0"/>
  </r>
  <r>
    <n v="41"/>
    <s v="Female"/>
    <n v="19"/>
    <s v="White"/>
    <x v="1"/>
    <n v="86"/>
    <n v="69"/>
    <n v="77"/>
    <n v="4.5999999999999996"/>
    <n v="4"/>
    <n v="4.4444444444444446"/>
    <n v="5"/>
    <n v="4.5111111111111111"/>
    <n v="0"/>
  </r>
  <r>
    <n v="42"/>
    <s v="Male"/>
    <n v="19"/>
    <s v="White"/>
    <x v="0"/>
    <n v="71"/>
    <n v="73"/>
    <n v="49"/>
    <n v="3"/>
    <n v="3.5"/>
    <n v="3.3333333333333335"/>
    <n v="3"/>
    <n v="3.2083333333333335"/>
    <n v="0"/>
  </r>
  <r>
    <n v="43"/>
    <s v="Male"/>
    <n v="20"/>
    <s v="Hispanic"/>
    <x v="0"/>
    <n v="49"/>
    <n v="47"/>
    <n v="62"/>
    <n v="3.9"/>
    <n v="4.25"/>
    <n v="3.7777777777777777"/>
    <n v="4.75"/>
    <n v="4.1694444444444443"/>
    <n v="0"/>
  </r>
  <r>
    <n v="44"/>
    <s v="Female"/>
    <n v="20"/>
    <s v="White"/>
    <x v="1"/>
    <n v="50"/>
    <n v="90"/>
    <n v="82"/>
    <n v="4.5"/>
    <n v="5"/>
    <n v="5"/>
    <n v="5"/>
    <n v="4.875"/>
    <n v="0"/>
  </r>
  <r>
    <n v="45"/>
    <s v="Female"/>
    <n v="20"/>
    <s v="Hispanic"/>
    <x v="1"/>
    <n v="64"/>
    <n v="62"/>
    <n v="67"/>
    <n v="4.2"/>
    <n v="4.25"/>
    <n v="4.5555555555555554"/>
    <n v="4.333333333333333"/>
    <n v="4.3347222222222221"/>
    <n v="0"/>
  </r>
  <r>
    <n v="46"/>
    <s v="Male"/>
    <n v="20"/>
    <s v="White"/>
    <x v="1"/>
    <n v="75"/>
    <n v="67"/>
    <n v="58"/>
    <n v="4.2"/>
    <n v="4"/>
    <n v="4.1111111111111107"/>
    <n v="4.25"/>
    <n v="4.1402777777777775"/>
    <n v="0"/>
  </r>
  <r>
    <n v="47"/>
    <s v="Male"/>
    <n v="20"/>
    <s v="Asian"/>
    <x v="1"/>
    <n v="52"/>
    <n v="63"/>
    <n v="68"/>
    <n v="4.8"/>
    <n v="4.75"/>
    <n v="5"/>
    <n v="4.75"/>
    <n v="4.8250000000000002"/>
    <n v="0"/>
  </r>
  <r>
    <n v="48"/>
    <s v="Male"/>
    <n v="19"/>
    <s v="White"/>
    <x v="0"/>
    <n v="65"/>
    <n v="38"/>
    <n v="41"/>
    <n v="4.2"/>
    <n v="4.75"/>
    <n v="4.333333333333333"/>
    <n v="4"/>
    <n v="4.3208333333333329"/>
    <n v="0"/>
  </r>
  <r>
    <n v="49"/>
    <s v="Female"/>
    <n v="20"/>
    <s v="White"/>
    <x v="0"/>
    <n v="64"/>
    <n v="72"/>
    <n v="57"/>
    <n v="2.8"/>
    <n v="4.25"/>
    <n v="3.8888888888888888"/>
    <n v="3.75"/>
    <n v="3.6722222222222221"/>
    <n v="0"/>
  </r>
  <r>
    <n v="50"/>
    <s v="Male"/>
    <n v="21"/>
    <s v="Black/African-American"/>
    <x v="0"/>
    <n v="73"/>
    <n v="77"/>
    <n v="74"/>
    <n v="3.2"/>
    <n v="4.5"/>
    <n v="3.8888888888888888"/>
    <n v="4.5"/>
    <n v="4.0222222222222221"/>
    <n v="0"/>
  </r>
  <r>
    <n v="51"/>
    <s v="Male"/>
    <n v="18"/>
    <s v="White"/>
    <x v="0"/>
    <n v="55"/>
    <n v="60"/>
    <n v="77"/>
    <n v="4"/>
    <n v="4"/>
    <n v="4.1111111111111107"/>
    <n v="5"/>
    <n v="4.2777777777777777"/>
    <n v="0"/>
  </r>
  <r>
    <n v="52"/>
    <s v="Male"/>
    <n v="20"/>
    <s v="White"/>
    <x v="0"/>
    <n v="66"/>
    <n v="29"/>
    <n v="41"/>
    <n v="4.2"/>
    <n v="4.5"/>
    <n v="4"/>
    <n v="4"/>
    <n v="4.1749999999999998"/>
    <n v="0"/>
  </r>
  <r>
    <n v="53"/>
    <s v="Male"/>
    <n v="21"/>
    <s v="Black/African-American"/>
    <x v="1"/>
    <n v="86"/>
    <n v="42"/>
    <n v="52"/>
    <n v="3.3"/>
    <n v="3.75"/>
    <n v="3.6666666666666665"/>
    <n v="3.25"/>
    <n v="3.4916666666666667"/>
    <n v="0"/>
  </r>
  <r>
    <n v="54"/>
    <s v="Male"/>
    <n v="21"/>
    <s v="Asian"/>
    <x v="0"/>
    <n v="53"/>
    <n v="76"/>
    <n v="43"/>
    <n v="3.6"/>
    <n v="3.5"/>
    <n v="3.5555555555555554"/>
    <n v="3.25"/>
    <n v="3.4763888888888888"/>
    <n v="0"/>
  </r>
  <r>
    <n v="55"/>
    <s v="Male"/>
    <n v="21"/>
    <s v="Black/African-American"/>
    <x v="1"/>
    <n v="96"/>
    <n v="75"/>
    <n v="62"/>
    <n v="3.5"/>
    <n v="4"/>
    <n v="3.4444444444444446"/>
    <n v="3.75"/>
    <n v="3.6736111111111112"/>
    <n v="0"/>
  </r>
  <r>
    <n v="56"/>
    <s v="Male"/>
    <n v="21"/>
    <s v="White"/>
    <x v="1"/>
    <n v="70"/>
    <n v="69"/>
    <n v="64"/>
    <n v="4.3"/>
    <n v="4"/>
    <n v="3.8888888888888888"/>
    <n v="5"/>
    <n v="4.2972222222222225"/>
    <n v="0"/>
  </r>
  <r>
    <n v="57"/>
    <s v="Male"/>
    <n v="22"/>
    <s v="White"/>
    <x v="1"/>
    <n v="69"/>
    <n v="68"/>
    <n v="53"/>
    <n v="3.8"/>
    <n v="5"/>
    <n v="4.7777777777777777"/>
    <n v="5"/>
    <n v="4.6444444444444448"/>
    <n v="0"/>
  </r>
  <r>
    <n v="58"/>
    <s v="Male"/>
    <n v="20"/>
    <s v="Asian"/>
    <x v="0"/>
    <n v="57"/>
    <n v="63"/>
    <n v="69"/>
    <n v="4.2"/>
    <n v="3.75"/>
    <n v="4.4444444444444446"/>
    <n v="4.5"/>
    <n v="4.2236111111111114"/>
    <n v="0"/>
  </r>
  <r>
    <n v="59"/>
    <s v="Female"/>
    <n v="19"/>
    <s v="Asian"/>
    <x v="1"/>
    <n v="80"/>
    <n v="36"/>
    <n v="54"/>
    <n v="3.8"/>
    <n v="2.75"/>
    <n v="3.4444444444444446"/>
    <n v="4.25"/>
    <n v="3.5611111111111109"/>
    <n v="0"/>
  </r>
  <r>
    <n v="60"/>
    <s v="Female"/>
    <n v="19"/>
    <s v="White"/>
    <x v="1"/>
    <n v="73"/>
    <n v="66"/>
    <n v="55"/>
    <n v="4.0999999999999996"/>
    <n v="4"/>
    <n v="4"/>
    <n v="4"/>
    <n v="4.0250000000000004"/>
    <n v="0"/>
  </r>
  <r>
    <n v="61"/>
    <s v="Male"/>
    <n v="21"/>
    <s v="White"/>
    <x v="1"/>
    <n v="64"/>
    <n v="64"/>
    <n v="81"/>
    <n v="4.0999999999999996"/>
    <n v="5"/>
    <n v="4.8888888888888893"/>
    <n v="5"/>
    <n v="4.7472222222222218"/>
    <n v="0"/>
  </r>
  <r>
    <n v="62"/>
    <s v="Male"/>
    <n v="22"/>
    <s v="Asian"/>
    <x v="0"/>
    <n v="64"/>
    <n v="61"/>
    <n v="69"/>
    <n v="3.9"/>
    <n v="4"/>
    <n v="4.1111111111111107"/>
    <n v="4"/>
    <n v="4.0027777777777782"/>
    <n v="0"/>
  </r>
  <r>
    <n v="63"/>
    <s v="Female"/>
    <n v="21"/>
    <s v="White"/>
    <x v="0"/>
    <n v="89"/>
    <n v="68"/>
    <n v="74"/>
    <n v="4.5"/>
    <n v="3.25"/>
    <n v="4.333333333333333"/>
    <n v="4.75"/>
    <n v="4.208333333333333"/>
    <n v="0"/>
  </r>
  <r>
    <n v="64"/>
    <s v="Male"/>
    <n v="20"/>
    <s v="Black/African-American"/>
    <x v="0"/>
    <n v="89"/>
    <n v="48"/>
    <n v="66"/>
    <n v="4.4000000000000004"/>
    <n v="4.75"/>
    <n v="4.7777777777777777"/>
    <n v="4"/>
    <n v="4.4819444444444443"/>
    <n v="0"/>
  </r>
  <r>
    <n v="65"/>
    <s v="Male"/>
    <n v="21"/>
    <s v="White"/>
    <x v="0"/>
    <n v="83"/>
    <n v="41"/>
    <n v="66"/>
    <n v="4.5"/>
    <n v="4"/>
    <n v="3.6666666666666665"/>
    <n v="4.25"/>
    <n v="4.1041666666666661"/>
    <n v="0"/>
  </r>
  <r>
    <n v="66"/>
    <s v="Male"/>
    <n v="18"/>
    <s v="White"/>
    <x v="0"/>
    <n v="75"/>
    <n v="82"/>
    <n v="49"/>
    <n v="3.4"/>
    <n v="3.25"/>
    <n v="3.5555555555555554"/>
    <n v="4"/>
    <n v="3.5513888888888889"/>
    <n v="0"/>
  </r>
  <r>
    <n v="67"/>
    <s v="Female"/>
    <n v="20"/>
    <s v="Asian"/>
    <x v="1"/>
    <n v="66"/>
    <n v="47"/>
    <n v="58"/>
    <n v="4"/>
    <n v="4.5"/>
    <n v="4.333333333333333"/>
    <n v="4"/>
    <n v="4.208333333333333"/>
    <n v="0"/>
  </r>
  <r>
    <n v="68"/>
    <s v="Male"/>
    <n v="20"/>
    <s v="White"/>
    <x v="0"/>
    <n v="61"/>
    <n v="86"/>
    <n v="71"/>
    <n v="3.6"/>
    <n v="4.75"/>
    <n v="4.5555555555555554"/>
    <n v="4.75"/>
    <n v="4.4138888888888888"/>
    <n v="0"/>
  </r>
  <r>
    <n v="69"/>
    <s v="Male"/>
    <n v="20"/>
    <s v="Black/African-American"/>
    <x v="0"/>
    <n v="82"/>
    <n v="47"/>
    <n v="62"/>
    <n v="4.3"/>
    <n v="4.75"/>
    <n v="4.7777777777777777"/>
    <n v="3.75"/>
    <n v="4.3944444444444448"/>
    <n v="0"/>
  </r>
  <r>
    <n v="70"/>
    <s v="Male"/>
    <n v="20"/>
    <s v="Native Hawaiian/Pacific Islander"/>
    <x v="0"/>
    <n v="70"/>
    <n v="51"/>
    <n v="68"/>
    <n v="4.0999999999999996"/>
    <n v="4.333333333333333"/>
    <n v="4.1111111111111107"/>
    <n v="3.75"/>
    <n v="4.0736111111111111"/>
    <n v="0"/>
  </r>
  <r>
    <n v="71"/>
    <s v="Female"/>
    <n v="21"/>
    <s v="White"/>
    <x v="1"/>
    <n v="67"/>
    <n v="43"/>
    <n v="62"/>
    <n v="4.5"/>
    <n v="4.5"/>
    <n v="4"/>
    <n v="4"/>
    <n v="4.25"/>
    <n v="0"/>
  </r>
  <r>
    <n v="72"/>
    <s v="Male"/>
    <n v="18"/>
    <s v="White"/>
    <x v="1"/>
    <n v="66"/>
    <n v="32"/>
    <n v="68"/>
    <n v="3.4"/>
    <n v="2.75"/>
    <n v="3.5555555555555554"/>
    <n v="4"/>
    <n v="3.4263888888888889"/>
    <n v="0"/>
  </r>
  <r>
    <n v="73"/>
    <s v="Female"/>
    <n v="21"/>
    <s v="Black/African-American"/>
    <x v="1"/>
    <n v="66"/>
    <n v="66"/>
    <n v="84"/>
    <n v="4.4000000000000004"/>
    <n v="5"/>
    <n v="4.2222222222222223"/>
    <n v="4.5"/>
    <n v="4.5305555555555559"/>
    <n v="0"/>
  </r>
  <r>
    <n v="74"/>
    <s v="Female"/>
    <n v="20"/>
    <s v="Black/African-American"/>
    <x v="1"/>
    <n v="54"/>
    <n v="78"/>
    <n v="81"/>
    <n v="4"/>
    <n v="4.75"/>
    <n v="4.333333333333333"/>
    <n v="5"/>
    <n v="4.520833333333333"/>
    <n v="0"/>
  </r>
  <r>
    <n v="75"/>
    <s v="Male"/>
    <n v="19"/>
    <s v="Hispanic"/>
    <x v="0"/>
    <n v="56"/>
    <n v="69"/>
    <n v="79"/>
    <n v="3.9"/>
    <n v="2.25"/>
    <n v="3.2222222222222223"/>
    <n v="4"/>
    <n v="3.3430555555555559"/>
    <n v="0"/>
  </r>
  <r>
    <n v="76"/>
    <s v="Male"/>
    <n v="20"/>
    <s v="Native American"/>
    <x v="1"/>
    <n v="91"/>
    <n v="57"/>
    <n v="60"/>
    <n v="3.9"/>
    <n v="3.75"/>
    <n v="3.5555555555555554"/>
    <n v="3.75"/>
    <n v="3.7388888888888889"/>
    <n v="0"/>
  </r>
  <r>
    <n v="77"/>
    <s v="Male"/>
    <n v="21"/>
    <s v="White"/>
    <x v="0"/>
    <n v="55"/>
    <n v="72"/>
    <n v="74"/>
    <n v="4.8"/>
    <n v="3.75"/>
    <n v="4.7777777777777777"/>
    <n v="5"/>
    <n v="4.5819444444444448"/>
    <n v="0"/>
  </r>
  <r>
    <n v="78"/>
    <s v="Female"/>
    <n v="20"/>
    <s v="White"/>
    <x v="1"/>
    <n v="37"/>
    <n v="72"/>
    <n v="89"/>
    <n v="4.7"/>
    <n v="4.75"/>
    <n v="4.8888888888888893"/>
    <n v="5"/>
    <n v="4.8347222222222221"/>
    <n v="0"/>
  </r>
  <r>
    <n v="79"/>
    <s v="Male"/>
    <n v="20"/>
    <s v="White"/>
    <x v="1"/>
    <n v="82"/>
    <n v="44"/>
    <n v="62"/>
    <n v="4.3"/>
    <n v="4.5"/>
    <n v="4.333333333333333"/>
    <n v="4.5"/>
    <n v="4.4083333333333332"/>
    <n v="0"/>
  </r>
  <r>
    <n v="80"/>
    <s v="Female"/>
    <n v="21"/>
    <s v="Black/African-American"/>
    <x v="1"/>
    <n v="45"/>
    <n v="66"/>
    <n v="66"/>
    <n v="4.3"/>
    <n v="4.5"/>
    <n v="4.5555555555555554"/>
    <n v="4.25"/>
    <n v="4.4013888888888886"/>
    <n v="0"/>
  </r>
  <r>
    <n v="81"/>
    <s v="Female"/>
    <n v="21"/>
    <s v="Hispanic"/>
    <x v="0"/>
    <n v="68"/>
    <n v="65"/>
    <n v="65"/>
    <n v="3.3"/>
    <n v="2.75"/>
    <n v="3.4444444444444446"/>
    <n v="4"/>
    <n v="3.3736111111111109"/>
    <n v="0"/>
  </r>
  <r>
    <n v="82"/>
    <s v="Male"/>
    <n v="20"/>
    <s v="Black/African-American"/>
    <x v="1"/>
    <n v="69"/>
    <n v="78"/>
    <n v="67"/>
    <n v="4.5"/>
    <n v="4.5"/>
    <n v="4.1111111111111107"/>
    <n v="5"/>
    <n v="4.5277777777777777"/>
    <n v="0"/>
  </r>
  <r>
    <n v="83"/>
    <s v="Female"/>
    <n v="18"/>
    <s v="Black/African-American"/>
    <x v="1"/>
    <n v="65"/>
    <n v="43"/>
    <n v="72"/>
    <n v="4.3"/>
    <n v="4.25"/>
    <n v="4.5555555555555554"/>
    <n v="4"/>
    <n v="4.2763888888888886"/>
    <n v="0"/>
  </r>
  <r>
    <n v="84"/>
    <s v="Male"/>
    <n v="19"/>
    <s v="Asian"/>
    <x v="1"/>
    <n v="63"/>
    <n v="75"/>
    <n v="47"/>
    <n v="4.3"/>
    <n v="4.5"/>
    <n v="4.1111111111111107"/>
    <n v="4.5"/>
    <n v="4.3527777777777779"/>
    <n v="0"/>
  </r>
  <r>
    <n v="85"/>
    <s v="Male"/>
    <n v="21"/>
    <s v="Black/African-American"/>
    <x v="0"/>
    <n v="93"/>
    <n v="58"/>
    <n v="59"/>
    <n v="3.8"/>
    <n v="3"/>
    <n v="3.5555555555555554"/>
    <n v="3.5"/>
    <n v="3.4638888888888886"/>
    <n v="0"/>
  </r>
  <r>
    <n v="86"/>
    <s v="Female"/>
    <n v="19"/>
    <s v="Black/African-American"/>
    <x v="0"/>
    <n v="95"/>
    <n v="51"/>
    <n v="68"/>
    <n v="4.5"/>
    <n v="3.5"/>
    <n v="4.1111111111111107"/>
    <n v="3.5"/>
    <n v="3.9027777777777777"/>
    <n v="0"/>
  </r>
  <r>
    <n v="87"/>
    <s v="Female"/>
    <n v="20"/>
    <s v="White"/>
    <x v="0"/>
    <n v="92"/>
    <n v="55"/>
    <n v="69"/>
    <n v="4.8"/>
    <n v="4.75"/>
    <n v="5"/>
    <n v="4.75"/>
    <n v="4.8250000000000002"/>
    <n v="0"/>
  </r>
  <r>
    <n v="88"/>
    <s v="Male"/>
    <n v="20"/>
    <s v="Black/African-American"/>
    <x v="1"/>
    <n v="53"/>
    <n v="71"/>
    <n v="78"/>
    <n v="3.8"/>
    <n v="4.75"/>
    <n v="4.1111111111111107"/>
    <n v="5"/>
    <n v="4.4152777777777779"/>
    <n v="0"/>
  </r>
  <r>
    <n v="89"/>
    <s v="Female"/>
    <n v="20"/>
    <s v="Asian"/>
    <x v="0"/>
    <n v="66"/>
    <n v="55"/>
    <n v="54"/>
    <n v="3.4"/>
    <n v="3.75"/>
    <n v="3.5555555555555554"/>
    <n v="2.75"/>
    <n v="3.3638888888888889"/>
    <n v="0"/>
  </r>
  <r>
    <n v="90"/>
    <s v="Female"/>
    <n v="19"/>
    <s v="Asian"/>
    <x v="0"/>
    <n v="68"/>
    <n v="74"/>
    <n v="58"/>
    <n v="3"/>
    <n v="3.5"/>
    <n v="3.8888888888888888"/>
    <n v="3.75"/>
    <n v="3.5347222222222223"/>
    <n v="0"/>
  </r>
  <r>
    <n v="91"/>
    <s v="Male"/>
    <n v="20"/>
    <s v="Hispanic"/>
    <x v="0"/>
    <n v="70"/>
    <n v="41"/>
    <n v="64"/>
    <n v="3.9"/>
    <n v="3.5"/>
    <n v="3.7777777777777777"/>
    <n v="3.75"/>
    <n v="3.7319444444444443"/>
    <n v="0"/>
  </r>
  <r>
    <n v="92"/>
    <s v="Male"/>
    <n v="21"/>
    <s v="White"/>
    <x v="0"/>
    <n v="65"/>
    <n v="42"/>
    <n v="65"/>
    <n v="2.9"/>
    <n v="2.5"/>
    <n v="3.6666666666666665"/>
    <n v="3.75"/>
    <n v="3.2041666666666666"/>
    <n v="0"/>
  </r>
  <r>
    <n v="93"/>
    <s v="Male"/>
    <n v="19"/>
    <s v="Hispanic"/>
    <x v="0"/>
    <n v="48"/>
    <n v="74"/>
    <n v="58"/>
    <n v="4"/>
    <n v="4"/>
    <n v="3.6666666666666665"/>
    <n v="4"/>
    <n v="3.9166666666666665"/>
    <n v="0"/>
  </r>
  <r>
    <n v="94"/>
    <s v="Female"/>
    <n v="20"/>
    <s v="White"/>
    <x v="0"/>
    <n v="71"/>
    <n v="69"/>
    <n v="71"/>
    <n v="3.9"/>
    <n v="4.5"/>
    <n v="3.6666666666666665"/>
    <n v="4.25"/>
    <n v="4.0791666666666666"/>
    <n v="0"/>
  </r>
  <r>
    <n v="95"/>
    <s v="Female"/>
    <n v="21"/>
    <s v="White"/>
    <x v="0"/>
    <n v="67"/>
    <n v="57"/>
    <n v="90"/>
    <n v="3.5"/>
    <n v="4"/>
    <n v="3.8888888888888888"/>
    <n v="4.5"/>
    <n v="3.9722222222222223"/>
    <n v="0"/>
  </r>
  <r>
    <n v="96"/>
    <s v="Female"/>
    <n v="20"/>
    <s v="White"/>
    <x v="1"/>
    <n v="65"/>
    <n v="48"/>
    <n v="58"/>
    <n v="3.7"/>
    <n v="4"/>
    <n v="4"/>
    <n v="4.25"/>
    <n v="3.9874999999999998"/>
    <n v="0"/>
  </r>
  <r>
    <n v="97"/>
    <s v="Male"/>
    <n v="20"/>
    <s v="Black/African-American"/>
    <x v="0"/>
    <n v="76"/>
    <n v="44"/>
    <n v="81"/>
    <n v="4.2"/>
    <n v="4.25"/>
    <n v="4.2222222222222223"/>
    <n v="4.75"/>
    <n v="4.3555555555555552"/>
    <n v="0"/>
  </r>
  <r>
    <n v="98"/>
    <s v="Male"/>
    <n v="20"/>
    <s v="White"/>
    <x v="1"/>
    <n v="70"/>
    <n v="83"/>
    <n v="65"/>
    <n v="3.8"/>
    <n v="3.5"/>
    <n v="3.7777777777777777"/>
    <n v="4"/>
    <n v="3.7694444444444444"/>
    <n v="0"/>
  </r>
  <r>
    <n v="99"/>
    <s v="Male"/>
    <n v="20"/>
    <s v="White"/>
    <x v="1"/>
    <n v="59"/>
    <n v="64"/>
    <n v="39"/>
    <n v="3.2"/>
    <n v="3.25"/>
    <n v="2.7777777777777777"/>
    <n v="4"/>
    <n v="3.3069444444444445"/>
    <n v="0"/>
  </r>
  <r>
    <n v="100"/>
    <s v="Female"/>
    <n v="19"/>
    <s v="Black/African-American"/>
    <x v="1"/>
    <n v="43"/>
    <n v="35"/>
    <n v="48"/>
    <n v="3.7"/>
    <n v="2.75"/>
    <n v="3.5555555555555554"/>
    <n v="4"/>
    <n v="3.5013888888888891"/>
    <n v="0"/>
  </r>
  <r>
    <n v="101"/>
    <s v="Female"/>
    <n v="19"/>
    <s v="White"/>
    <x v="1"/>
    <n v="68"/>
    <n v="56"/>
    <n v="56"/>
    <n v="4.5"/>
    <n v="3.75"/>
    <n v="3.8888888888888888"/>
    <n v="4.5"/>
    <n v="4.1597222222222223"/>
    <n v="0"/>
  </r>
  <r>
    <n v="102"/>
    <s v="Male"/>
    <n v="19"/>
    <s v="Asian"/>
    <x v="0"/>
    <n v="73"/>
    <n v="50"/>
    <n v="53"/>
    <n v="3.7"/>
    <n v="4.5"/>
    <n v="4.1111111111111107"/>
    <n v="5"/>
    <n v="4.3277777777777775"/>
    <n v="0"/>
  </r>
  <r>
    <n v="103"/>
    <s v="Male"/>
    <n v="19"/>
    <s v="Hispanic"/>
    <x v="1"/>
    <n v="71"/>
    <n v="69"/>
    <n v="85"/>
    <n v="3.8"/>
    <n v="4.5"/>
    <n v="4.333333333333333"/>
    <n v="4.75"/>
    <n v="4.3458333333333332"/>
    <n v="0"/>
  </r>
  <r>
    <n v="104"/>
    <s v="Male"/>
    <n v="20"/>
    <s v="Black/African-American"/>
    <x v="1"/>
    <n v="52"/>
    <n v="62"/>
    <n v="70"/>
    <n v="3.7"/>
    <n v="4.5"/>
    <n v="3.6666666666666665"/>
    <n v="3.75"/>
    <n v="3.9041666666666663"/>
    <n v="0"/>
  </r>
  <r>
    <n v="105"/>
    <s v="Male"/>
    <n v="18"/>
    <s v="Hispanic"/>
    <x v="0"/>
    <n v="68"/>
    <n v="45"/>
    <n v="73"/>
    <n v="3.3"/>
    <n v="3.5"/>
    <n v="2.5555555555555554"/>
    <n v="5"/>
    <n v="3.5888888888888886"/>
    <n v="0"/>
  </r>
  <r>
    <n v="106"/>
    <s v="Male"/>
    <n v="21"/>
    <s v="Hispanic"/>
    <x v="0"/>
    <n v="95"/>
    <n v="35"/>
    <n v="50"/>
    <n v="3.9"/>
    <n v="3.25"/>
    <n v="4.1111111111111107"/>
    <n v="4.75"/>
    <n v="4.0027777777777782"/>
    <n v="0"/>
  </r>
  <r>
    <n v="107"/>
    <s v="Male"/>
    <n v="20"/>
    <s v="White"/>
    <x v="0"/>
    <n v="56"/>
    <n v="53"/>
    <n v="66"/>
    <n v="2.7"/>
    <n v="2.25"/>
    <n v="3.2222222222222223"/>
    <n v="4.25"/>
    <n v="3.1055555555555556"/>
    <n v="0"/>
  </r>
  <r>
    <n v="108"/>
    <s v="Female"/>
    <n v="22"/>
    <s v="Asian"/>
    <x v="0"/>
    <n v="71"/>
    <n v="54"/>
    <n v="67"/>
    <n v="3.9"/>
    <n v="4.25"/>
    <n v="4.1111111111111107"/>
    <n v="4"/>
    <n v="4.0652777777777782"/>
    <n v="0"/>
  </r>
  <r>
    <n v="109"/>
    <s v="Female"/>
    <n v="20"/>
    <s v="White"/>
    <x v="0"/>
    <n v="78"/>
    <n v="39"/>
    <n v="86"/>
    <n v="3.4"/>
    <n v="4"/>
    <n v="3.6666666666666665"/>
    <n v="4.5"/>
    <n v="3.8916666666666666"/>
    <n v="0"/>
  </r>
  <r>
    <n v="110"/>
    <s v="Male"/>
    <n v="18"/>
    <s v="Asian"/>
    <x v="0"/>
    <n v="87"/>
    <n v="64"/>
    <n v="62"/>
    <n v="4.3"/>
    <n v="3.5"/>
    <n v="4.1111111111111107"/>
    <n v="4.25"/>
    <n v="4.0402777777777779"/>
    <n v="0"/>
  </r>
  <r>
    <n v="111"/>
    <s v="Male"/>
    <n v="20"/>
    <s v="White"/>
    <x v="0"/>
    <n v="80"/>
    <n v="62"/>
    <n v="69"/>
    <n v="4.2"/>
    <n v="4.25"/>
    <n v="4.2222222222222223"/>
    <n v="4.5"/>
    <n v="4.2930555555555552"/>
    <n v="0"/>
  </r>
  <r>
    <n v="112"/>
    <s v="Male"/>
    <n v="20"/>
    <s v="White"/>
    <x v="0"/>
    <n v="59"/>
    <n v="51"/>
    <n v="75"/>
    <n v="4.0999999999999996"/>
    <n v="2.75"/>
    <n v="3.8888888888888888"/>
    <n v="4.25"/>
    <n v="3.7472222222222222"/>
    <n v="0"/>
  </r>
  <r>
    <n v="113"/>
    <s v="Female"/>
    <n v="19"/>
    <s v="Black/African-American"/>
    <x v="0"/>
    <n v="55"/>
    <n v="52"/>
    <n v="47"/>
    <n v="3.9"/>
    <n v="4.25"/>
    <n v="4.5555555555555554"/>
    <n v="4"/>
    <n v="4.1763888888888889"/>
    <n v="0"/>
  </r>
  <r>
    <n v="114"/>
    <s v="Female"/>
    <n v="19"/>
    <s v="White"/>
    <x v="0"/>
    <n v="71"/>
    <n v="47"/>
    <n v="52"/>
    <n v="3.8"/>
    <n v="4"/>
    <n v="3.8888888888888888"/>
    <n v="4"/>
    <n v="3.9222222222222221"/>
    <n v="0"/>
  </r>
  <r>
    <n v="115"/>
    <s v="Male"/>
    <n v="21"/>
    <s v="Hispanic"/>
    <x v="1"/>
    <n v="73"/>
    <n v="68"/>
    <n v="51"/>
    <n v="4.2"/>
    <n v="4.5"/>
    <n v="4.2222222222222223"/>
    <n v="4"/>
    <n v="4.2305555555555552"/>
    <n v="0"/>
  </r>
  <r>
    <n v="116"/>
    <s v="Male"/>
    <n v="19"/>
    <s v="Hispanic"/>
    <x v="1"/>
    <n v="55"/>
    <n v="61"/>
    <n v="60"/>
    <n v="3.3"/>
    <n v="4.25"/>
    <n v="3.7777777777777777"/>
    <n v="3.25"/>
    <n v="3.6444444444444444"/>
    <n v="0"/>
  </r>
  <r>
    <n v="117"/>
    <s v="Male"/>
    <n v="20"/>
    <s v="White"/>
    <x v="1"/>
    <n v="84"/>
    <n v="64"/>
    <n v="62"/>
    <n v="4.5"/>
    <n v="5"/>
    <n v="4.5555555555555554"/>
    <n v="4.75"/>
    <n v="4.7013888888888893"/>
    <n v="0"/>
  </r>
  <r>
    <n v="118"/>
    <s v="Male"/>
    <n v="22"/>
    <s v="Hispanic"/>
    <x v="0"/>
    <n v="94"/>
    <n v="56"/>
    <n v="63"/>
    <n v="3.4"/>
    <n v="3.5"/>
    <n v="4.333333333333333"/>
    <n v="2.5"/>
    <n v="3.4333333333333336"/>
    <n v="0"/>
  </r>
  <r>
    <n v="119"/>
    <s v="Female"/>
    <n v="20"/>
    <s v="White"/>
    <x v="1"/>
    <n v="47"/>
    <n v="66"/>
    <n v="60"/>
    <n v="3.7"/>
    <n v="2.75"/>
    <n v="3.375"/>
    <n v="4.75"/>
    <n v="3.6437499999999998"/>
    <n v="0"/>
  </r>
  <r>
    <n v="120"/>
    <s v="Male"/>
    <n v="21"/>
    <s v="White"/>
    <x v="1"/>
    <n v="55"/>
    <n v="73"/>
    <n v="55"/>
    <n v="3.1"/>
    <n v="3.5"/>
    <n v="3.2222222222222223"/>
    <n v="3"/>
    <n v="3.205555555555555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CD54-6A84-4FFC-8FF4-0CF7811968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14">
    <pivotField showAll="0"/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dataField="1" numFmtId="2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Final Performance" fld="12" subtotal="average" baseField="4" baseItem="0" numFmtId="2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zoomScale="80" workbookViewId="0">
      <selection activeCell="O34" sqref="O34"/>
    </sheetView>
  </sheetViews>
  <sheetFormatPr defaultColWidth="8.796875" defaultRowHeight="14.25" x14ac:dyDescent="0.45"/>
  <cols>
    <col min="2" max="2" width="10.33203125" customWidth="1"/>
    <col min="4" max="4" width="12.796875" customWidth="1"/>
    <col min="5" max="5" width="18.796875" style="2" customWidth="1"/>
    <col min="9" max="10" width="14.73046875" customWidth="1"/>
    <col min="11" max="11" width="14.53125" customWidth="1"/>
    <col min="12" max="12" width="14.33203125" customWidth="1"/>
    <col min="13" max="13" width="15.86328125" customWidth="1"/>
    <col min="14" max="14" width="16.59765625" customWidth="1"/>
    <col min="16" max="16" width="16.59765625" customWidth="1"/>
    <col min="17" max="17" width="10.73046875" customWidth="1"/>
    <col min="18" max="18" width="15.73046875" customWidth="1"/>
  </cols>
  <sheetData>
    <row r="1" spans="1:20" x14ac:dyDescent="0.45">
      <c r="A1" t="s">
        <v>7</v>
      </c>
      <c r="B1" t="s">
        <v>14</v>
      </c>
      <c r="C1" t="s">
        <v>0</v>
      </c>
      <c r="D1" t="s">
        <v>1</v>
      </c>
      <c r="E1" s="2" t="s">
        <v>11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P1" t="s">
        <v>23</v>
      </c>
      <c r="Q1" t="s">
        <v>15</v>
      </c>
      <c r="R1" t="s">
        <v>16</v>
      </c>
      <c r="S1" t="s">
        <v>17</v>
      </c>
      <c r="T1" t="s">
        <v>0</v>
      </c>
    </row>
    <row r="2" spans="1:20" x14ac:dyDescent="0.45">
      <c r="A2">
        <v>1</v>
      </c>
      <c r="B2" s="2" t="s">
        <v>8</v>
      </c>
      <c r="C2" s="2">
        <v>19</v>
      </c>
      <c r="D2" t="s">
        <v>2</v>
      </c>
      <c r="E2" s="2" t="s">
        <v>12</v>
      </c>
      <c r="F2" s="2">
        <v>80</v>
      </c>
      <c r="G2" s="2">
        <v>68</v>
      </c>
      <c r="H2" s="2">
        <v>75</v>
      </c>
      <c r="I2" s="1">
        <v>4.2</v>
      </c>
      <c r="J2" s="1">
        <v>4</v>
      </c>
      <c r="K2" s="1">
        <v>4.4444444444444446</v>
      </c>
      <c r="L2" s="1">
        <v>4.25</v>
      </c>
      <c r="M2" s="1">
        <f>AVERAGE(I2:L2)</f>
        <v>4.2236111111111114</v>
      </c>
      <c r="N2">
        <f>IF(E2="Yes",1,0)</f>
        <v>0</v>
      </c>
      <c r="P2">
        <f>IF(G2="Yes",1,0)</f>
        <v>0</v>
      </c>
      <c r="Q2" s="2">
        <v>80</v>
      </c>
      <c r="R2" s="2">
        <v>68</v>
      </c>
      <c r="S2" s="2">
        <v>75</v>
      </c>
      <c r="T2" s="2">
        <v>19</v>
      </c>
    </row>
    <row r="3" spans="1:20" x14ac:dyDescent="0.45">
      <c r="A3">
        <v>2</v>
      </c>
      <c r="B3" s="2" t="s">
        <v>8</v>
      </c>
      <c r="C3" s="2">
        <v>21</v>
      </c>
      <c r="D3" t="s">
        <v>2</v>
      </c>
      <c r="E3" s="2" t="s">
        <v>12</v>
      </c>
      <c r="F3" s="2">
        <v>76</v>
      </c>
      <c r="G3" s="2">
        <v>60</v>
      </c>
      <c r="H3" s="2">
        <v>69</v>
      </c>
      <c r="I3" s="1">
        <v>4.5</v>
      </c>
      <c r="J3" s="1">
        <v>4.75</v>
      </c>
      <c r="K3" s="1">
        <v>4.4444444444444446</v>
      </c>
      <c r="L3" s="1">
        <v>4.5</v>
      </c>
      <c r="M3" s="1">
        <f t="shared" ref="M3:M66" si="0">AVERAGE(I3:L3)</f>
        <v>4.5486111111111107</v>
      </c>
      <c r="N3">
        <f t="shared" ref="N3:P66" si="1">IF(E3="Yes",1,0)</f>
        <v>0</v>
      </c>
      <c r="P3">
        <f t="shared" si="1"/>
        <v>0</v>
      </c>
      <c r="Q3" s="2">
        <v>76</v>
      </c>
      <c r="R3" s="2">
        <v>60</v>
      </c>
      <c r="S3" s="2">
        <v>69</v>
      </c>
      <c r="T3" s="2">
        <v>21</v>
      </c>
    </row>
    <row r="4" spans="1:20" x14ac:dyDescent="0.45">
      <c r="A4">
        <v>3</v>
      </c>
      <c r="B4" s="2" t="s">
        <v>8</v>
      </c>
      <c r="C4" s="2">
        <v>20</v>
      </c>
      <c r="D4" t="s">
        <v>10</v>
      </c>
      <c r="E4" s="2" t="s">
        <v>13</v>
      </c>
      <c r="F4" s="2">
        <v>49</v>
      </c>
      <c r="G4" s="2">
        <v>70</v>
      </c>
      <c r="H4" s="2">
        <v>59</v>
      </c>
      <c r="I4" s="1">
        <v>4</v>
      </c>
      <c r="J4" s="1">
        <v>4.25</v>
      </c>
      <c r="K4" s="1">
        <v>4.5555555555555554</v>
      </c>
      <c r="L4" s="1">
        <v>4.25</v>
      </c>
      <c r="M4" s="1">
        <f t="shared" si="0"/>
        <v>4.2638888888888893</v>
      </c>
      <c r="N4">
        <f t="shared" si="1"/>
        <v>0</v>
      </c>
      <c r="P4">
        <f t="shared" si="1"/>
        <v>0</v>
      </c>
      <c r="Q4" s="2">
        <v>49</v>
      </c>
      <c r="R4" s="2">
        <v>70</v>
      </c>
      <c r="S4" s="2">
        <v>59</v>
      </c>
      <c r="T4" s="2">
        <v>20</v>
      </c>
    </row>
    <row r="5" spans="1:20" x14ac:dyDescent="0.45">
      <c r="A5">
        <v>4</v>
      </c>
      <c r="B5" s="2" t="s">
        <v>9</v>
      </c>
      <c r="C5" s="2">
        <v>18</v>
      </c>
      <c r="D5" t="s">
        <v>10</v>
      </c>
      <c r="E5" s="2" t="s">
        <v>13</v>
      </c>
      <c r="F5" s="2">
        <v>71</v>
      </c>
      <c r="G5" s="2">
        <v>50</v>
      </c>
      <c r="H5" s="2">
        <v>56</v>
      </c>
      <c r="I5" s="1">
        <v>4.4000000000000004</v>
      </c>
      <c r="J5" s="1">
        <v>4.25</v>
      </c>
      <c r="K5" s="1">
        <v>4.333333333333333</v>
      </c>
      <c r="L5" s="1">
        <v>4</v>
      </c>
      <c r="M5" s="1">
        <f t="shared" si="0"/>
        <v>4.2458333333333336</v>
      </c>
      <c r="N5">
        <f t="shared" si="1"/>
        <v>0</v>
      </c>
      <c r="P5">
        <f t="shared" si="1"/>
        <v>0</v>
      </c>
      <c r="Q5" s="2">
        <v>71</v>
      </c>
      <c r="R5" s="2">
        <v>50</v>
      </c>
      <c r="S5" s="2">
        <v>56</v>
      </c>
      <c r="T5" s="2">
        <v>18</v>
      </c>
    </row>
    <row r="6" spans="1:20" x14ac:dyDescent="0.45">
      <c r="A6">
        <v>5</v>
      </c>
      <c r="B6" s="2" t="s">
        <v>9</v>
      </c>
      <c r="C6" s="2">
        <v>20</v>
      </c>
      <c r="D6" t="s">
        <v>3</v>
      </c>
      <c r="E6" s="2" t="s">
        <v>12</v>
      </c>
      <c r="F6" s="2">
        <v>56</v>
      </c>
      <c r="G6" s="2">
        <v>53</v>
      </c>
      <c r="H6" s="2">
        <v>64</v>
      </c>
      <c r="I6" s="1">
        <v>3.1</v>
      </c>
      <c r="J6" s="1">
        <v>3.75</v>
      </c>
      <c r="K6" s="1">
        <v>3.8888888888888888</v>
      </c>
      <c r="L6" s="1">
        <v>4</v>
      </c>
      <c r="M6" s="1">
        <f t="shared" si="0"/>
        <v>3.6847222222222222</v>
      </c>
      <c r="N6">
        <f t="shared" si="1"/>
        <v>0</v>
      </c>
      <c r="P6">
        <f t="shared" si="1"/>
        <v>0</v>
      </c>
      <c r="Q6" s="2">
        <v>56</v>
      </c>
      <c r="R6" s="2">
        <v>53</v>
      </c>
      <c r="S6" s="2">
        <v>64</v>
      </c>
      <c r="T6" s="2">
        <v>20</v>
      </c>
    </row>
    <row r="7" spans="1:20" x14ac:dyDescent="0.45">
      <c r="A7">
        <v>6</v>
      </c>
      <c r="B7" s="2" t="s">
        <v>9</v>
      </c>
      <c r="C7" s="2">
        <v>19</v>
      </c>
      <c r="D7" t="s">
        <v>10</v>
      </c>
      <c r="E7" s="2" t="s">
        <v>12</v>
      </c>
      <c r="F7" s="2">
        <v>63</v>
      </c>
      <c r="G7" s="2">
        <v>45</v>
      </c>
      <c r="H7" s="2">
        <v>64</v>
      </c>
      <c r="I7" s="1">
        <v>2.2999999999999998</v>
      </c>
      <c r="J7" s="1">
        <v>3</v>
      </c>
      <c r="K7" s="1">
        <v>3.1111111111111112</v>
      </c>
      <c r="L7" s="1">
        <v>3</v>
      </c>
      <c r="M7" s="1">
        <f t="shared" si="0"/>
        <v>2.8527777777777779</v>
      </c>
      <c r="N7">
        <f t="shared" si="1"/>
        <v>0</v>
      </c>
      <c r="P7">
        <f t="shared" si="1"/>
        <v>0</v>
      </c>
      <c r="Q7" s="2">
        <v>63</v>
      </c>
      <c r="R7" s="2">
        <v>45</v>
      </c>
      <c r="S7" s="2">
        <v>64</v>
      </c>
      <c r="T7" s="2">
        <v>19</v>
      </c>
    </row>
    <row r="8" spans="1:20" x14ac:dyDescent="0.45">
      <c r="A8">
        <v>7</v>
      </c>
      <c r="B8" s="2" t="s">
        <v>9</v>
      </c>
      <c r="C8" s="2">
        <v>21</v>
      </c>
      <c r="D8" t="s">
        <v>10</v>
      </c>
      <c r="E8" s="2" t="s">
        <v>13</v>
      </c>
      <c r="F8" s="2">
        <v>65</v>
      </c>
      <c r="G8" s="2">
        <v>55</v>
      </c>
      <c r="H8" s="2">
        <v>69</v>
      </c>
      <c r="I8" s="1">
        <v>3.8</v>
      </c>
      <c r="J8" s="1">
        <v>4.25</v>
      </c>
      <c r="K8" s="1">
        <v>4</v>
      </c>
      <c r="L8" s="1">
        <v>4</v>
      </c>
      <c r="M8" s="1">
        <f t="shared" si="0"/>
        <v>4.0125000000000002</v>
      </c>
      <c r="N8">
        <f t="shared" si="1"/>
        <v>0</v>
      </c>
      <c r="P8">
        <f t="shared" si="1"/>
        <v>0</v>
      </c>
      <c r="Q8" s="2">
        <v>65</v>
      </c>
      <c r="R8" s="2">
        <v>55</v>
      </c>
      <c r="S8" s="2">
        <v>69</v>
      </c>
      <c r="T8" s="2">
        <v>21</v>
      </c>
    </row>
    <row r="9" spans="1:20" x14ac:dyDescent="0.45">
      <c r="A9">
        <v>8</v>
      </c>
      <c r="B9" s="2" t="s">
        <v>8</v>
      </c>
      <c r="C9" s="2">
        <v>20</v>
      </c>
      <c r="D9" t="s">
        <v>10</v>
      </c>
      <c r="E9" s="2" t="s">
        <v>13</v>
      </c>
      <c r="F9" s="2">
        <v>93</v>
      </c>
      <c r="G9" s="2">
        <v>42</v>
      </c>
      <c r="H9" s="2">
        <v>75</v>
      </c>
      <c r="I9" s="1">
        <v>4.4000000000000004</v>
      </c>
      <c r="J9" s="1">
        <v>4</v>
      </c>
      <c r="K9" s="1">
        <v>4.4444444444444446</v>
      </c>
      <c r="L9" s="1">
        <v>4.75</v>
      </c>
      <c r="M9" s="1">
        <f t="shared" si="0"/>
        <v>4.3986111111111112</v>
      </c>
      <c r="N9">
        <f t="shared" si="1"/>
        <v>0</v>
      </c>
      <c r="P9">
        <f t="shared" si="1"/>
        <v>0</v>
      </c>
      <c r="Q9" s="2">
        <v>93</v>
      </c>
      <c r="R9" s="2">
        <v>42</v>
      </c>
      <c r="S9" s="2">
        <v>75</v>
      </c>
      <c r="T9" s="2">
        <v>20</v>
      </c>
    </row>
    <row r="10" spans="1:20" x14ac:dyDescent="0.45">
      <c r="A10">
        <v>9</v>
      </c>
      <c r="B10" s="2" t="s">
        <v>8</v>
      </c>
      <c r="C10" s="2">
        <v>20</v>
      </c>
      <c r="D10" t="s">
        <v>10</v>
      </c>
      <c r="E10" s="2" t="s">
        <v>12</v>
      </c>
      <c r="F10" s="2">
        <v>56</v>
      </c>
      <c r="G10" s="2">
        <v>93</v>
      </c>
      <c r="H10" s="2">
        <v>62</v>
      </c>
      <c r="I10" s="1">
        <v>4.5999999999999996</v>
      </c>
      <c r="J10" s="1">
        <v>5</v>
      </c>
      <c r="K10" s="1">
        <v>4.5555555555555554</v>
      </c>
      <c r="L10" s="1">
        <v>5</v>
      </c>
      <c r="M10" s="1">
        <f t="shared" si="0"/>
        <v>4.7888888888888888</v>
      </c>
      <c r="N10">
        <f t="shared" si="1"/>
        <v>0</v>
      </c>
      <c r="P10">
        <f t="shared" si="1"/>
        <v>0</v>
      </c>
      <c r="Q10" s="2">
        <v>56</v>
      </c>
      <c r="R10" s="2">
        <v>93</v>
      </c>
      <c r="S10" s="2">
        <v>62</v>
      </c>
      <c r="T10" s="2">
        <v>20</v>
      </c>
    </row>
    <row r="11" spans="1:20" x14ac:dyDescent="0.45">
      <c r="A11">
        <v>10</v>
      </c>
      <c r="B11" s="2" t="s">
        <v>8</v>
      </c>
      <c r="C11" s="2">
        <v>19</v>
      </c>
      <c r="D11" t="s">
        <v>2</v>
      </c>
      <c r="E11" s="2" t="s">
        <v>12</v>
      </c>
      <c r="F11" s="2">
        <v>67</v>
      </c>
      <c r="G11" s="2">
        <v>64</v>
      </c>
      <c r="H11" s="2">
        <v>61</v>
      </c>
      <c r="I11" s="1">
        <v>3.3</v>
      </c>
      <c r="J11" s="1">
        <v>3.75</v>
      </c>
      <c r="K11" s="1">
        <v>3.5555555555555554</v>
      </c>
      <c r="L11" s="1">
        <v>3</v>
      </c>
      <c r="M11" s="1">
        <f t="shared" si="0"/>
        <v>3.4013888888888886</v>
      </c>
      <c r="N11">
        <f t="shared" si="1"/>
        <v>0</v>
      </c>
      <c r="P11">
        <f t="shared" si="1"/>
        <v>0</v>
      </c>
      <c r="Q11" s="2">
        <v>67</v>
      </c>
      <c r="R11" s="2">
        <v>64</v>
      </c>
      <c r="S11" s="2">
        <v>61</v>
      </c>
      <c r="T11" s="2">
        <v>19</v>
      </c>
    </row>
    <row r="12" spans="1:20" x14ac:dyDescent="0.45">
      <c r="A12">
        <v>11</v>
      </c>
      <c r="B12" s="2" t="s">
        <v>8</v>
      </c>
      <c r="C12" s="2">
        <v>18</v>
      </c>
      <c r="D12" t="s">
        <v>10</v>
      </c>
      <c r="E12" s="2" t="s">
        <v>13</v>
      </c>
      <c r="F12" s="2">
        <v>85</v>
      </c>
      <c r="G12" s="2">
        <v>97</v>
      </c>
      <c r="H12" s="2">
        <v>70</v>
      </c>
      <c r="I12" s="1">
        <v>4.4000000000000004</v>
      </c>
      <c r="J12" s="1">
        <v>5</v>
      </c>
      <c r="K12" s="1">
        <v>4.666666666666667</v>
      </c>
      <c r="L12" s="1">
        <v>5</v>
      </c>
      <c r="M12" s="1">
        <f t="shared" si="0"/>
        <v>4.7666666666666666</v>
      </c>
      <c r="N12">
        <f t="shared" si="1"/>
        <v>0</v>
      </c>
      <c r="P12">
        <f t="shared" si="1"/>
        <v>0</v>
      </c>
      <c r="Q12" s="2">
        <v>85</v>
      </c>
      <c r="R12" s="2">
        <v>97</v>
      </c>
      <c r="S12" s="2">
        <v>70</v>
      </c>
      <c r="T12" s="2">
        <v>18</v>
      </c>
    </row>
    <row r="13" spans="1:20" x14ac:dyDescent="0.45">
      <c r="A13">
        <v>12</v>
      </c>
      <c r="B13" s="2" t="s">
        <v>9</v>
      </c>
      <c r="C13" s="2">
        <v>21</v>
      </c>
      <c r="D13" t="s">
        <v>10</v>
      </c>
      <c r="E13" s="2" t="s">
        <v>12</v>
      </c>
      <c r="F13" s="2">
        <v>57</v>
      </c>
      <c r="G13" s="2">
        <v>70</v>
      </c>
      <c r="H13" s="2">
        <v>68</v>
      </c>
      <c r="I13" s="1">
        <v>4.5</v>
      </c>
      <c r="J13" s="1">
        <v>4.5</v>
      </c>
      <c r="K13" s="1">
        <v>4.666666666666667</v>
      </c>
      <c r="L13" s="1">
        <v>5</v>
      </c>
      <c r="M13" s="1">
        <f t="shared" si="0"/>
        <v>4.666666666666667</v>
      </c>
      <c r="N13">
        <f t="shared" si="1"/>
        <v>0</v>
      </c>
      <c r="P13">
        <f t="shared" si="1"/>
        <v>0</v>
      </c>
      <c r="Q13" s="2">
        <v>57</v>
      </c>
      <c r="R13" s="2">
        <v>70</v>
      </c>
      <c r="S13" s="2">
        <v>68</v>
      </c>
      <c r="T13" s="2">
        <v>21</v>
      </c>
    </row>
    <row r="14" spans="1:20" x14ac:dyDescent="0.45">
      <c r="A14">
        <v>13</v>
      </c>
      <c r="B14" s="2" t="s">
        <v>8</v>
      </c>
      <c r="C14" s="2">
        <v>20</v>
      </c>
      <c r="D14" t="s">
        <v>2</v>
      </c>
      <c r="E14" s="2" t="s">
        <v>13</v>
      </c>
      <c r="F14" s="2">
        <v>81</v>
      </c>
      <c r="G14" s="2">
        <v>88</v>
      </c>
      <c r="H14" s="2">
        <v>39</v>
      </c>
      <c r="I14" s="1">
        <v>5</v>
      </c>
      <c r="J14" s="1">
        <v>4.75</v>
      </c>
      <c r="K14" s="1">
        <v>5</v>
      </c>
      <c r="L14" s="1">
        <v>5</v>
      </c>
      <c r="M14" s="1">
        <f t="shared" si="0"/>
        <v>4.9375</v>
      </c>
      <c r="N14">
        <f t="shared" si="1"/>
        <v>0</v>
      </c>
      <c r="P14">
        <f t="shared" si="1"/>
        <v>0</v>
      </c>
      <c r="Q14" s="2">
        <v>81</v>
      </c>
      <c r="R14" s="2">
        <v>88</v>
      </c>
      <c r="S14" s="2">
        <v>39</v>
      </c>
      <c r="T14" s="2">
        <v>20</v>
      </c>
    </row>
    <row r="15" spans="1:20" x14ac:dyDescent="0.45">
      <c r="A15">
        <v>14</v>
      </c>
      <c r="B15" s="2" t="s">
        <v>8</v>
      </c>
      <c r="C15" s="2">
        <v>20</v>
      </c>
      <c r="D15" t="s">
        <v>4</v>
      </c>
      <c r="E15" s="2" t="s">
        <v>13</v>
      </c>
      <c r="F15" s="2">
        <v>78</v>
      </c>
      <c r="G15" s="2">
        <v>44</v>
      </c>
      <c r="H15" s="2">
        <v>58</v>
      </c>
      <c r="I15" s="1">
        <v>3.8</v>
      </c>
      <c r="J15" s="1">
        <v>4.25</v>
      </c>
      <c r="K15" s="1">
        <v>4.2222222222222223</v>
      </c>
      <c r="L15" s="1">
        <v>4.75</v>
      </c>
      <c r="M15" s="1">
        <f t="shared" si="0"/>
        <v>4.2555555555555555</v>
      </c>
      <c r="N15">
        <f t="shared" si="1"/>
        <v>0</v>
      </c>
      <c r="P15">
        <f t="shared" si="1"/>
        <v>0</v>
      </c>
      <c r="Q15" s="2">
        <v>78</v>
      </c>
      <c r="R15" s="2">
        <v>44</v>
      </c>
      <c r="S15" s="2">
        <v>58</v>
      </c>
      <c r="T15" s="2">
        <v>20</v>
      </c>
    </row>
    <row r="16" spans="1:20" x14ac:dyDescent="0.45">
      <c r="A16">
        <v>15</v>
      </c>
      <c r="B16" s="2" t="s">
        <v>9</v>
      </c>
      <c r="C16" s="2">
        <v>19</v>
      </c>
      <c r="D16" t="s">
        <v>2</v>
      </c>
      <c r="E16" s="2" t="s">
        <v>12</v>
      </c>
      <c r="F16" s="2">
        <v>46</v>
      </c>
      <c r="G16" s="2">
        <v>47</v>
      </c>
      <c r="H16" s="2">
        <v>54</v>
      </c>
      <c r="I16" s="1">
        <v>3.5</v>
      </c>
      <c r="J16" s="1">
        <v>2.75</v>
      </c>
      <c r="K16" s="1">
        <v>3.3333333333333335</v>
      </c>
      <c r="L16" s="1">
        <v>4</v>
      </c>
      <c r="M16" s="1">
        <f t="shared" si="0"/>
        <v>3.3958333333333335</v>
      </c>
      <c r="N16">
        <f t="shared" si="1"/>
        <v>0</v>
      </c>
      <c r="P16">
        <f t="shared" si="1"/>
        <v>0</v>
      </c>
      <c r="Q16" s="2">
        <v>46</v>
      </c>
      <c r="R16" s="2">
        <v>47</v>
      </c>
      <c r="S16" s="2">
        <v>54</v>
      </c>
      <c r="T16" s="2">
        <v>19</v>
      </c>
    </row>
    <row r="17" spans="1:20" x14ac:dyDescent="0.45">
      <c r="A17">
        <v>16</v>
      </c>
      <c r="B17" s="2" t="s">
        <v>8</v>
      </c>
      <c r="C17" s="2">
        <v>20</v>
      </c>
      <c r="D17" t="s">
        <v>2</v>
      </c>
      <c r="E17" s="2" t="s">
        <v>12</v>
      </c>
      <c r="F17" s="2">
        <v>57</v>
      </c>
      <c r="G17" s="2">
        <v>54</v>
      </c>
      <c r="H17" s="2">
        <v>55</v>
      </c>
      <c r="I17" s="1">
        <v>4.7</v>
      </c>
      <c r="J17" s="1">
        <v>3.5</v>
      </c>
      <c r="K17" s="1">
        <v>4.5555555555555554</v>
      </c>
      <c r="L17" s="1">
        <v>5</v>
      </c>
      <c r="M17" s="1">
        <f t="shared" si="0"/>
        <v>4.4388888888888882</v>
      </c>
      <c r="N17">
        <f t="shared" si="1"/>
        <v>0</v>
      </c>
      <c r="P17">
        <f t="shared" si="1"/>
        <v>0</v>
      </c>
      <c r="Q17" s="2">
        <v>57</v>
      </c>
      <c r="R17" s="2">
        <v>54</v>
      </c>
      <c r="S17" s="2">
        <v>55</v>
      </c>
      <c r="T17" s="2">
        <v>20</v>
      </c>
    </row>
    <row r="18" spans="1:20" x14ac:dyDescent="0.45">
      <c r="A18">
        <v>17</v>
      </c>
      <c r="B18" s="2" t="s">
        <v>9</v>
      </c>
      <c r="C18" s="2">
        <v>19</v>
      </c>
      <c r="D18" t="s">
        <v>2</v>
      </c>
      <c r="E18" s="2" t="s">
        <v>13</v>
      </c>
      <c r="F18" s="2">
        <v>62</v>
      </c>
      <c r="G18" s="2">
        <v>97</v>
      </c>
      <c r="H18" s="2">
        <v>65</v>
      </c>
      <c r="I18" s="1">
        <v>4.4000000000000004</v>
      </c>
      <c r="J18" s="1">
        <v>4.75</v>
      </c>
      <c r="K18" s="1">
        <v>4.7777777777777777</v>
      </c>
      <c r="L18" s="1">
        <v>4.75</v>
      </c>
      <c r="M18" s="1">
        <f t="shared" si="0"/>
        <v>4.6694444444444443</v>
      </c>
      <c r="N18">
        <f t="shared" si="1"/>
        <v>0</v>
      </c>
      <c r="P18">
        <f t="shared" si="1"/>
        <v>0</v>
      </c>
      <c r="Q18" s="2">
        <v>62</v>
      </c>
      <c r="R18" s="2">
        <v>97</v>
      </c>
      <c r="S18" s="2">
        <v>65</v>
      </c>
      <c r="T18" s="2">
        <v>19</v>
      </c>
    </row>
    <row r="19" spans="1:20" x14ac:dyDescent="0.45">
      <c r="A19">
        <v>18</v>
      </c>
      <c r="B19" s="2" t="s">
        <v>8</v>
      </c>
      <c r="C19" s="2">
        <v>20</v>
      </c>
      <c r="D19" t="s">
        <v>10</v>
      </c>
      <c r="E19" s="2" t="s">
        <v>12</v>
      </c>
      <c r="F19" s="2">
        <v>51</v>
      </c>
      <c r="G19" s="2">
        <v>91</v>
      </c>
      <c r="H19" s="2">
        <v>78</v>
      </c>
      <c r="I19" s="1">
        <v>2.7</v>
      </c>
      <c r="J19" s="1">
        <v>3.5</v>
      </c>
      <c r="K19" s="1">
        <v>3.6666666666666665</v>
      </c>
      <c r="L19" s="1">
        <v>4.75</v>
      </c>
      <c r="M19" s="1">
        <f t="shared" si="0"/>
        <v>3.6541666666666668</v>
      </c>
      <c r="N19">
        <f t="shared" si="1"/>
        <v>0</v>
      </c>
      <c r="P19">
        <f t="shared" si="1"/>
        <v>0</v>
      </c>
      <c r="Q19" s="2">
        <v>51</v>
      </c>
      <c r="R19" s="2">
        <v>91</v>
      </c>
      <c r="S19" s="2">
        <v>78</v>
      </c>
      <c r="T19" s="2">
        <v>20</v>
      </c>
    </row>
    <row r="20" spans="1:20" x14ac:dyDescent="0.45">
      <c r="A20">
        <v>19</v>
      </c>
      <c r="B20" s="2" t="s">
        <v>9</v>
      </c>
      <c r="C20" s="2">
        <v>20</v>
      </c>
      <c r="D20" t="s">
        <v>3</v>
      </c>
      <c r="E20" s="2" t="s">
        <v>13</v>
      </c>
      <c r="F20" s="2">
        <v>69</v>
      </c>
      <c r="G20" s="2">
        <v>44</v>
      </c>
      <c r="H20" s="2">
        <v>85</v>
      </c>
      <c r="I20" s="1">
        <v>4.3</v>
      </c>
      <c r="J20" s="1">
        <v>4</v>
      </c>
      <c r="K20" s="1">
        <v>4.666666666666667</v>
      </c>
      <c r="L20" s="1">
        <v>4.25</v>
      </c>
      <c r="M20" s="1">
        <f t="shared" si="0"/>
        <v>4.3041666666666671</v>
      </c>
      <c r="N20">
        <f t="shared" si="1"/>
        <v>0</v>
      </c>
      <c r="P20">
        <f t="shared" si="1"/>
        <v>0</v>
      </c>
      <c r="Q20" s="2">
        <v>69</v>
      </c>
      <c r="R20" s="2">
        <v>44</v>
      </c>
      <c r="S20" s="2">
        <v>85</v>
      </c>
      <c r="T20" s="2">
        <v>20</v>
      </c>
    </row>
    <row r="21" spans="1:20" x14ac:dyDescent="0.45">
      <c r="A21">
        <v>20</v>
      </c>
      <c r="B21" s="2" t="s">
        <v>8</v>
      </c>
      <c r="C21" s="2">
        <v>19</v>
      </c>
      <c r="D21" t="s">
        <v>2</v>
      </c>
      <c r="E21" s="2" t="s">
        <v>12</v>
      </c>
      <c r="F21" s="2">
        <v>56</v>
      </c>
      <c r="G21" s="2">
        <v>58</v>
      </c>
      <c r="H21" s="2">
        <v>50</v>
      </c>
      <c r="I21" s="1">
        <v>2.6</v>
      </c>
      <c r="J21" s="1">
        <v>4</v>
      </c>
      <c r="K21" s="1">
        <v>3.6666666666666665</v>
      </c>
      <c r="L21" s="1">
        <v>2.75</v>
      </c>
      <c r="M21" s="1">
        <f t="shared" si="0"/>
        <v>3.2541666666666664</v>
      </c>
      <c r="N21">
        <f t="shared" si="1"/>
        <v>0</v>
      </c>
      <c r="P21">
        <f t="shared" si="1"/>
        <v>0</v>
      </c>
      <c r="Q21" s="2">
        <v>56</v>
      </c>
      <c r="R21" s="2">
        <v>58</v>
      </c>
      <c r="S21" s="2">
        <v>50</v>
      </c>
      <c r="T21" s="2">
        <v>19</v>
      </c>
    </row>
    <row r="22" spans="1:20" x14ac:dyDescent="0.45">
      <c r="A22">
        <v>21</v>
      </c>
      <c r="B22" s="2" t="s">
        <v>9</v>
      </c>
      <c r="C22" s="2">
        <v>21</v>
      </c>
      <c r="D22" t="s">
        <v>3</v>
      </c>
      <c r="E22" s="2" t="s">
        <v>13</v>
      </c>
      <c r="F22" s="2">
        <v>55</v>
      </c>
      <c r="G22" s="2">
        <v>68</v>
      </c>
      <c r="H22" s="2">
        <v>66</v>
      </c>
      <c r="I22" s="1">
        <v>3.7</v>
      </c>
      <c r="J22" s="1">
        <v>4.25</v>
      </c>
      <c r="K22" s="1">
        <v>4.4444444444444446</v>
      </c>
      <c r="L22" s="1">
        <v>3</v>
      </c>
      <c r="M22" s="1">
        <f t="shared" si="0"/>
        <v>3.8486111111111114</v>
      </c>
      <c r="N22">
        <f t="shared" si="1"/>
        <v>0</v>
      </c>
      <c r="P22">
        <f t="shared" si="1"/>
        <v>0</v>
      </c>
      <c r="Q22" s="2">
        <v>55</v>
      </c>
      <c r="R22" s="2">
        <v>68</v>
      </c>
      <c r="S22" s="2">
        <v>66</v>
      </c>
      <c r="T22" s="2">
        <v>21</v>
      </c>
    </row>
    <row r="23" spans="1:20" x14ac:dyDescent="0.45">
      <c r="A23">
        <v>22</v>
      </c>
      <c r="B23" s="2" t="s">
        <v>9</v>
      </c>
      <c r="C23" s="2">
        <v>21</v>
      </c>
      <c r="D23" t="s">
        <v>10</v>
      </c>
      <c r="E23" s="2" t="s">
        <v>13</v>
      </c>
      <c r="F23" s="2">
        <v>83</v>
      </c>
      <c r="G23" s="2">
        <v>61</v>
      </c>
      <c r="H23" s="2">
        <v>61</v>
      </c>
      <c r="I23" s="1">
        <v>3</v>
      </c>
      <c r="J23" s="1">
        <v>3.75</v>
      </c>
      <c r="K23" s="1">
        <v>3.3333333333333335</v>
      </c>
      <c r="L23" s="1">
        <v>3.25</v>
      </c>
      <c r="M23" s="1">
        <f t="shared" si="0"/>
        <v>3.3333333333333335</v>
      </c>
      <c r="N23">
        <f t="shared" si="1"/>
        <v>0</v>
      </c>
      <c r="P23">
        <f t="shared" si="1"/>
        <v>0</v>
      </c>
      <c r="Q23" s="2">
        <v>83</v>
      </c>
      <c r="R23" s="2">
        <v>61</v>
      </c>
      <c r="S23" s="2">
        <v>61</v>
      </c>
      <c r="T23" s="2">
        <v>21</v>
      </c>
    </row>
    <row r="24" spans="1:20" x14ac:dyDescent="0.45">
      <c r="A24">
        <v>23</v>
      </c>
      <c r="B24" s="2" t="s">
        <v>9</v>
      </c>
      <c r="C24" s="2">
        <v>20</v>
      </c>
      <c r="D24" t="s">
        <v>2</v>
      </c>
      <c r="E24" s="2" t="s">
        <v>12</v>
      </c>
      <c r="F24" s="2">
        <v>55</v>
      </c>
      <c r="G24" s="2">
        <v>48</v>
      </c>
      <c r="H24" s="2">
        <v>56</v>
      </c>
      <c r="I24" s="1">
        <v>4.5999999999999996</v>
      </c>
      <c r="J24" s="1">
        <v>5</v>
      </c>
      <c r="K24" s="1">
        <v>4.1111111111111107</v>
      </c>
      <c r="L24" s="1">
        <v>3.25</v>
      </c>
      <c r="M24" s="1">
        <f t="shared" si="0"/>
        <v>4.2402777777777771</v>
      </c>
      <c r="N24">
        <f t="shared" si="1"/>
        <v>0</v>
      </c>
      <c r="P24">
        <f t="shared" si="1"/>
        <v>0</v>
      </c>
      <c r="Q24" s="2">
        <v>55</v>
      </c>
      <c r="R24" s="2">
        <v>48</v>
      </c>
      <c r="S24" s="2">
        <v>56</v>
      </c>
      <c r="T24" s="2">
        <v>20</v>
      </c>
    </row>
    <row r="25" spans="1:20" x14ac:dyDescent="0.45">
      <c r="A25">
        <v>24</v>
      </c>
      <c r="B25" s="2" t="s">
        <v>9</v>
      </c>
      <c r="C25" s="2">
        <v>21</v>
      </c>
      <c r="D25" t="s">
        <v>4</v>
      </c>
      <c r="E25" s="2" t="s">
        <v>12</v>
      </c>
      <c r="F25" s="2">
        <v>80</v>
      </c>
      <c r="G25" s="2">
        <v>43</v>
      </c>
      <c r="H25" s="2">
        <v>75</v>
      </c>
      <c r="I25" s="1">
        <v>4.0999999999999996</v>
      </c>
      <c r="J25" s="1">
        <v>4.75</v>
      </c>
      <c r="K25" s="1">
        <v>4.333333333333333</v>
      </c>
      <c r="L25" s="1">
        <v>4.25</v>
      </c>
      <c r="M25" s="1">
        <f t="shared" si="0"/>
        <v>4.3583333333333334</v>
      </c>
      <c r="N25">
        <f t="shared" si="1"/>
        <v>0</v>
      </c>
      <c r="P25">
        <f t="shared" si="1"/>
        <v>0</v>
      </c>
      <c r="Q25" s="2">
        <v>80</v>
      </c>
      <c r="R25" s="2">
        <v>43</v>
      </c>
      <c r="S25" s="2">
        <v>75</v>
      </c>
      <c r="T25" s="2">
        <v>21</v>
      </c>
    </row>
    <row r="26" spans="1:20" x14ac:dyDescent="0.45">
      <c r="A26">
        <v>25</v>
      </c>
      <c r="B26" s="2" t="s">
        <v>9</v>
      </c>
      <c r="C26" s="2">
        <v>21</v>
      </c>
      <c r="D26" t="s">
        <v>10</v>
      </c>
      <c r="E26" s="2" t="s">
        <v>13</v>
      </c>
      <c r="F26" s="2">
        <v>79</v>
      </c>
      <c r="G26" s="2">
        <v>74</v>
      </c>
      <c r="H26" s="2">
        <v>53</v>
      </c>
      <c r="I26" s="1">
        <v>4.3</v>
      </c>
      <c r="J26" s="1">
        <v>4.75</v>
      </c>
      <c r="K26" s="1">
        <v>4.1111111111111107</v>
      </c>
      <c r="L26" s="1">
        <v>4</v>
      </c>
      <c r="M26" s="1">
        <f t="shared" si="0"/>
        <v>4.2902777777777779</v>
      </c>
      <c r="N26">
        <f t="shared" si="1"/>
        <v>0</v>
      </c>
      <c r="P26">
        <f t="shared" si="1"/>
        <v>0</v>
      </c>
      <c r="Q26" s="2">
        <v>79</v>
      </c>
      <c r="R26" s="2">
        <v>74</v>
      </c>
      <c r="S26" s="2">
        <v>53</v>
      </c>
      <c r="T26" s="2">
        <v>21</v>
      </c>
    </row>
    <row r="27" spans="1:20" x14ac:dyDescent="0.45">
      <c r="A27">
        <v>26</v>
      </c>
      <c r="B27" s="2" t="s">
        <v>8</v>
      </c>
      <c r="C27" s="2">
        <v>21</v>
      </c>
      <c r="D27" t="s">
        <v>2</v>
      </c>
      <c r="E27" s="2" t="s">
        <v>12</v>
      </c>
      <c r="F27" s="2">
        <v>69</v>
      </c>
      <c r="G27" s="2">
        <v>44</v>
      </c>
      <c r="H27" s="2">
        <v>64</v>
      </c>
      <c r="I27" s="1">
        <v>4.8</v>
      </c>
      <c r="J27" s="1">
        <v>4.75</v>
      </c>
      <c r="K27" s="1">
        <v>4.4444444444444446</v>
      </c>
      <c r="L27" s="1">
        <v>4.25</v>
      </c>
      <c r="M27" s="1">
        <f t="shared" si="0"/>
        <v>4.5611111111111118</v>
      </c>
      <c r="N27">
        <f t="shared" si="1"/>
        <v>0</v>
      </c>
      <c r="P27">
        <f t="shared" si="1"/>
        <v>0</v>
      </c>
      <c r="Q27" s="2">
        <v>69</v>
      </c>
      <c r="R27" s="2">
        <v>44</v>
      </c>
      <c r="S27" s="2">
        <v>64</v>
      </c>
      <c r="T27" s="2">
        <v>21</v>
      </c>
    </row>
    <row r="28" spans="1:20" x14ac:dyDescent="0.45">
      <c r="A28">
        <v>27</v>
      </c>
      <c r="B28" s="2" t="s">
        <v>8</v>
      </c>
      <c r="C28" s="2">
        <v>20</v>
      </c>
      <c r="D28" t="s">
        <v>3</v>
      </c>
      <c r="E28" s="2" t="s">
        <v>13</v>
      </c>
      <c r="F28" s="2">
        <v>76</v>
      </c>
      <c r="G28" s="2">
        <v>52</v>
      </c>
      <c r="H28" s="2">
        <v>66</v>
      </c>
      <c r="I28" s="1">
        <v>4.7</v>
      </c>
      <c r="J28" s="1">
        <v>4.5</v>
      </c>
      <c r="K28" s="1">
        <v>4.4444444444444446</v>
      </c>
      <c r="L28" s="1">
        <v>4</v>
      </c>
      <c r="M28" s="1">
        <f t="shared" si="0"/>
        <v>4.4111111111111114</v>
      </c>
      <c r="N28">
        <f t="shared" si="1"/>
        <v>0</v>
      </c>
      <c r="P28">
        <f t="shared" si="1"/>
        <v>0</v>
      </c>
      <c r="Q28" s="2">
        <v>76</v>
      </c>
      <c r="R28" s="2">
        <v>52</v>
      </c>
      <c r="S28" s="2">
        <v>66</v>
      </c>
      <c r="T28" s="2">
        <v>20</v>
      </c>
    </row>
    <row r="29" spans="1:20" x14ac:dyDescent="0.45">
      <c r="A29">
        <v>28</v>
      </c>
      <c r="B29" s="2" t="s">
        <v>9</v>
      </c>
      <c r="C29" s="2">
        <v>20</v>
      </c>
      <c r="D29" t="s">
        <v>4</v>
      </c>
      <c r="E29" s="2" t="s">
        <v>13</v>
      </c>
      <c r="F29" s="2">
        <v>41</v>
      </c>
      <c r="G29" s="2">
        <v>55</v>
      </c>
      <c r="H29" s="2">
        <v>64</v>
      </c>
      <c r="I29" s="1">
        <v>3.8</v>
      </c>
      <c r="J29" s="1">
        <v>4.25</v>
      </c>
      <c r="K29" s="1">
        <v>3.8888888888888888</v>
      </c>
      <c r="L29" s="1">
        <v>4</v>
      </c>
      <c r="M29" s="1">
        <f t="shared" si="0"/>
        <v>3.9847222222222225</v>
      </c>
      <c r="N29">
        <f t="shared" si="1"/>
        <v>0</v>
      </c>
      <c r="P29">
        <f t="shared" si="1"/>
        <v>0</v>
      </c>
      <c r="Q29" s="2">
        <v>41</v>
      </c>
      <c r="R29" s="2">
        <v>55</v>
      </c>
      <c r="S29" s="2">
        <v>64</v>
      </c>
      <c r="T29" s="2">
        <v>20</v>
      </c>
    </row>
    <row r="30" spans="1:20" x14ac:dyDescent="0.45">
      <c r="A30">
        <v>29</v>
      </c>
      <c r="B30" s="2" t="s">
        <v>8</v>
      </c>
      <c r="C30" s="2">
        <v>20</v>
      </c>
      <c r="D30" t="s">
        <v>10</v>
      </c>
      <c r="E30" s="2" t="s">
        <v>13</v>
      </c>
      <c r="F30" s="2">
        <v>77</v>
      </c>
      <c r="G30" s="2">
        <v>44</v>
      </c>
      <c r="H30" s="2">
        <v>58</v>
      </c>
      <c r="I30" s="1">
        <v>4.2</v>
      </c>
      <c r="J30" s="1">
        <v>4.5</v>
      </c>
      <c r="K30" s="1">
        <v>4.1111111111111107</v>
      </c>
      <c r="L30" s="1">
        <v>4.25</v>
      </c>
      <c r="M30" s="1">
        <f t="shared" si="0"/>
        <v>4.2652777777777775</v>
      </c>
      <c r="N30">
        <f t="shared" si="1"/>
        <v>0</v>
      </c>
      <c r="P30">
        <f t="shared" si="1"/>
        <v>0</v>
      </c>
      <c r="Q30" s="2">
        <v>77</v>
      </c>
      <c r="R30" s="2">
        <v>44</v>
      </c>
      <c r="S30" s="2">
        <v>58</v>
      </c>
      <c r="T30" s="2">
        <v>20</v>
      </c>
    </row>
    <row r="31" spans="1:20" x14ac:dyDescent="0.45">
      <c r="A31">
        <v>30</v>
      </c>
      <c r="B31" s="2" t="s">
        <v>9</v>
      </c>
      <c r="C31" s="2">
        <v>22</v>
      </c>
      <c r="D31" t="s">
        <v>10</v>
      </c>
      <c r="E31" s="2" t="s">
        <v>13</v>
      </c>
      <c r="F31" s="2">
        <v>79</v>
      </c>
      <c r="G31" s="2">
        <v>75</v>
      </c>
      <c r="H31" s="2">
        <v>96</v>
      </c>
      <c r="I31" s="1">
        <v>4.4000000000000004</v>
      </c>
      <c r="J31" s="1">
        <v>5</v>
      </c>
      <c r="K31" s="1">
        <v>4.666666666666667</v>
      </c>
      <c r="L31" s="1">
        <v>5</v>
      </c>
      <c r="M31" s="1">
        <f t="shared" si="0"/>
        <v>4.7666666666666666</v>
      </c>
      <c r="N31">
        <f t="shared" si="1"/>
        <v>0</v>
      </c>
      <c r="P31">
        <f t="shared" si="1"/>
        <v>0</v>
      </c>
      <c r="Q31" s="2">
        <v>79</v>
      </c>
      <c r="R31" s="2">
        <v>75</v>
      </c>
      <c r="S31" s="2">
        <v>96</v>
      </c>
      <c r="T31" s="2">
        <v>22</v>
      </c>
    </row>
    <row r="32" spans="1:20" x14ac:dyDescent="0.45">
      <c r="A32">
        <v>31</v>
      </c>
      <c r="B32" s="2" t="s">
        <v>9</v>
      </c>
      <c r="C32" s="2">
        <v>20</v>
      </c>
      <c r="D32" t="s">
        <v>2</v>
      </c>
      <c r="E32" s="2" t="s">
        <v>12</v>
      </c>
      <c r="F32" s="2">
        <v>41</v>
      </c>
      <c r="G32" s="2">
        <v>57</v>
      </c>
      <c r="H32" s="2">
        <v>43</v>
      </c>
      <c r="I32" s="1">
        <v>3.2</v>
      </c>
      <c r="J32" s="1">
        <v>4.25</v>
      </c>
      <c r="K32" s="1">
        <v>3.4444444444444446</v>
      </c>
      <c r="L32" s="1">
        <v>4.25</v>
      </c>
      <c r="M32" s="1">
        <f t="shared" si="0"/>
        <v>3.7861111111111114</v>
      </c>
      <c r="N32">
        <f t="shared" si="1"/>
        <v>0</v>
      </c>
      <c r="P32">
        <f t="shared" si="1"/>
        <v>0</v>
      </c>
      <c r="Q32" s="2">
        <v>41</v>
      </c>
      <c r="R32" s="2">
        <v>57</v>
      </c>
      <c r="S32" s="2">
        <v>43</v>
      </c>
      <c r="T32" s="2">
        <v>20</v>
      </c>
    </row>
    <row r="33" spans="1:20" x14ac:dyDescent="0.45">
      <c r="A33">
        <v>32</v>
      </c>
      <c r="B33" s="2" t="s">
        <v>8</v>
      </c>
      <c r="C33" s="2">
        <v>19</v>
      </c>
      <c r="D33" t="s">
        <v>3</v>
      </c>
      <c r="E33" s="2" t="s">
        <v>13</v>
      </c>
      <c r="F33" s="2">
        <v>79</v>
      </c>
      <c r="G33" s="2">
        <v>60</v>
      </c>
      <c r="H33" s="2">
        <v>76</v>
      </c>
      <c r="I33" s="1">
        <v>4.4000000000000004</v>
      </c>
      <c r="J33" s="1">
        <v>4.25</v>
      </c>
      <c r="K33" s="1">
        <v>4.4444444444444446</v>
      </c>
      <c r="L33" s="1">
        <v>4.5</v>
      </c>
      <c r="M33" s="1">
        <f t="shared" si="0"/>
        <v>4.3986111111111112</v>
      </c>
      <c r="N33">
        <f t="shared" si="1"/>
        <v>0</v>
      </c>
      <c r="P33">
        <f t="shared" si="1"/>
        <v>0</v>
      </c>
      <c r="Q33" s="2">
        <v>79</v>
      </c>
      <c r="R33" s="2">
        <v>60</v>
      </c>
      <c r="S33" s="2">
        <v>76</v>
      </c>
      <c r="T33" s="2">
        <v>19</v>
      </c>
    </row>
    <row r="34" spans="1:20" x14ac:dyDescent="0.45">
      <c r="A34">
        <v>33</v>
      </c>
      <c r="B34" s="2" t="s">
        <v>9</v>
      </c>
      <c r="C34" s="2">
        <v>21</v>
      </c>
      <c r="D34" t="s">
        <v>10</v>
      </c>
      <c r="E34" s="2" t="s">
        <v>13</v>
      </c>
      <c r="F34" s="2">
        <v>83</v>
      </c>
      <c r="G34" s="2">
        <v>45</v>
      </c>
      <c r="H34" s="2">
        <v>57</v>
      </c>
      <c r="I34" s="1">
        <v>5</v>
      </c>
      <c r="J34" s="1">
        <v>5</v>
      </c>
      <c r="K34" s="1">
        <v>4.8888888888888893</v>
      </c>
      <c r="L34" s="1">
        <v>5</v>
      </c>
      <c r="M34" s="1">
        <f t="shared" si="0"/>
        <v>4.9722222222222223</v>
      </c>
      <c r="N34">
        <f t="shared" si="1"/>
        <v>0</v>
      </c>
      <c r="P34">
        <f t="shared" si="1"/>
        <v>0</v>
      </c>
      <c r="Q34" s="2">
        <v>83</v>
      </c>
      <c r="R34" s="2">
        <v>45</v>
      </c>
      <c r="S34" s="2">
        <v>57</v>
      </c>
      <c r="T34" s="2">
        <v>21</v>
      </c>
    </row>
    <row r="35" spans="1:20" x14ac:dyDescent="0.45">
      <c r="A35">
        <v>34</v>
      </c>
      <c r="B35" s="2" t="s">
        <v>8</v>
      </c>
      <c r="C35" s="2">
        <v>22</v>
      </c>
      <c r="D35" t="s">
        <v>2</v>
      </c>
      <c r="E35" s="2" t="s">
        <v>12</v>
      </c>
      <c r="F35" s="2">
        <v>81</v>
      </c>
      <c r="G35" s="2">
        <v>67</v>
      </c>
      <c r="H35" s="2">
        <v>76</v>
      </c>
      <c r="I35" s="1">
        <v>3.9</v>
      </c>
      <c r="J35" s="1">
        <v>5</v>
      </c>
      <c r="K35" s="1">
        <v>4.625</v>
      </c>
      <c r="L35" s="1">
        <v>4.75</v>
      </c>
      <c r="M35" s="1">
        <f t="shared" si="0"/>
        <v>4.5687499999999996</v>
      </c>
      <c r="N35">
        <f t="shared" si="1"/>
        <v>0</v>
      </c>
      <c r="P35">
        <f t="shared" si="1"/>
        <v>0</v>
      </c>
      <c r="Q35" s="2">
        <v>81</v>
      </c>
      <c r="R35" s="2">
        <v>67</v>
      </c>
      <c r="S35" s="2">
        <v>76</v>
      </c>
      <c r="T35" s="2">
        <v>22</v>
      </c>
    </row>
    <row r="36" spans="1:20" x14ac:dyDescent="0.45">
      <c r="A36">
        <v>35</v>
      </c>
      <c r="B36" s="2" t="s">
        <v>8</v>
      </c>
      <c r="C36" s="2">
        <v>20</v>
      </c>
      <c r="D36" t="s">
        <v>4</v>
      </c>
      <c r="E36" s="2" t="s">
        <v>13</v>
      </c>
      <c r="F36" s="2">
        <v>60</v>
      </c>
      <c r="G36" s="2">
        <v>60</v>
      </c>
      <c r="H36" s="2">
        <v>52</v>
      </c>
      <c r="I36" s="1">
        <v>2.8888888888888888</v>
      </c>
      <c r="J36" s="1">
        <v>3.25</v>
      </c>
      <c r="K36" s="1">
        <v>3.1111111111111112</v>
      </c>
      <c r="L36" s="1">
        <v>3.5</v>
      </c>
      <c r="M36" s="1">
        <f t="shared" si="0"/>
        <v>3.1875</v>
      </c>
      <c r="N36">
        <f t="shared" si="1"/>
        <v>0</v>
      </c>
      <c r="P36">
        <f t="shared" si="1"/>
        <v>0</v>
      </c>
      <c r="Q36" s="2">
        <v>60</v>
      </c>
      <c r="R36" s="2">
        <v>60</v>
      </c>
      <c r="S36" s="2">
        <v>52</v>
      </c>
      <c r="T36" s="2">
        <v>20</v>
      </c>
    </row>
    <row r="37" spans="1:20" x14ac:dyDescent="0.45">
      <c r="A37">
        <v>36</v>
      </c>
      <c r="B37" s="2" t="s">
        <v>8</v>
      </c>
      <c r="C37" s="2">
        <v>21</v>
      </c>
      <c r="D37" t="s">
        <v>3</v>
      </c>
      <c r="E37" s="2" t="s">
        <v>12</v>
      </c>
      <c r="F37" s="2">
        <v>72</v>
      </c>
      <c r="G37" s="2">
        <v>44</v>
      </c>
      <c r="H37" s="2">
        <v>62</v>
      </c>
      <c r="I37" s="1">
        <v>3.7</v>
      </c>
      <c r="J37" s="1">
        <v>3.25</v>
      </c>
      <c r="K37" s="1">
        <v>3.5555555555555554</v>
      </c>
      <c r="L37" s="1">
        <v>3.5</v>
      </c>
      <c r="M37" s="1">
        <f t="shared" si="0"/>
        <v>3.5013888888888891</v>
      </c>
      <c r="N37">
        <f t="shared" si="1"/>
        <v>0</v>
      </c>
      <c r="P37">
        <f t="shared" si="1"/>
        <v>0</v>
      </c>
      <c r="Q37" s="2">
        <v>72</v>
      </c>
      <c r="R37" s="2">
        <v>44</v>
      </c>
      <c r="S37" s="2">
        <v>62</v>
      </c>
      <c r="T37" s="2">
        <v>21</v>
      </c>
    </row>
    <row r="38" spans="1:20" x14ac:dyDescent="0.45">
      <c r="A38">
        <v>37</v>
      </c>
      <c r="B38" s="2" t="s">
        <v>9</v>
      </c>
      <c r="C38" s="2">
        <v>22</v>
      </c>
      <c r="D38" t="s">
        <v>3</v>
      </c>
      <c r="E38" s="2" t="s">
        <v>12</v>
      </c>
      <c r="F38" s="2">
        <v>59</v>
      </c>
      <c r="G38" s="2">
        <v>76</v>
      </c>
      <c r="H38" s="2">
        <v>63</v>
      </c>
      <c r="I38" s="1">
        <v>3.9</v>
      </c>
      <c r="J38" s="1">
        <v>3.75</v>
      </c>
      <c r="K38" s="1">
        <v>4.1111111111111107</v>
      </c>
      <c r="L38" s="1">
        <v>3.75</v>
      </c>
      <c r="M38" s="1">
        <f t="shared" si="0"/>
        <v>3.8777777777777778</v>
      </c>
      <c r="N38">
        <f t="shared" si="1"/>
        <v>0</v>
      </c>
      <c r="P38">
        <f t="shared" si="1"/>
        <v>0</v>
      </c>
      <c r="Q38" s="2">
        <v>59</v>
      </c>
      <c r="R38" s="2">
        <v>76</v>
      </c>
      <c r="S38" s="2">
        <v>63</v>
      </c>
      <c r="T38" s="2">
        <v>22</v>
      </c>
    </row>
    <row r="39" spans="1:20" x14ac:dyDescent="0.45">
      <c r="A39">
        <v>38</v>
      </c>
      <c r="B39" s="2" t="s">
        <v>9</v>
      </c>
      <c r="C39" s="2">
        <v>19</v>
      </c>
      <c r="D39" t="s">
        <v>4</v>
      </c>
      <c r="E39" s="2" t="s">
        <v>12</v>
      </c>
      <c r="F39" s="2">
        <v>37</v>
      </c>
      <c r="G39" s="2">
        <v>41</v>
      </c>
      <c r="H39" s="2">
        <v>65</v>
      </c>
      <c r="I39" s="1">
        <v>3.5555555555555554</v>
      </c>
      <c r="J39" s="1">
        <v>3.5</v>
      </c>
      <c r="K39" s="1">
        <v>3.4444444444444446</v>
      </c>
      <c r="L39" s="1">
        <v>4.25</v>
      </c>
      <c r="M39" s="1">
        <f t="shared" si="0"/>
        <v>3.6875</v>
      </c>
      <c r="N39">
        <f t="shared" si="1"/>
        <v>0</v>
      </c>
      <c r="P39">
        <f t="shared" si="1"/>
        <v>0</v>
      </c>
      <c r="Q39" s="2">
        <v>37</v>
      </c>
      <c r="R39" s="2">
        <v>41</v>
      </c>
      <c r="S39" s="2">
        <v>65</v>
      </c>
      <c r="T39" s="2">
        <v>19</v>
      </c>
    </row>
    <row r="40" spans="1:20" x14ac:dyDescent="0.45">
      <c r="A40">
        <v>39</v>
      </c>
      <c r="B40" s="2" t="s">
        <v>9</v>
      </c>
      <c r="C40" s="2">
        <v>19</v>
      </c>
      <c r="D40" t="s">
        <v>2</v>
      </c>
      <c r="E40" s="2" t="s">
        <v>13</v>
      </c>
      <c r="F40" s="2">
        <v>54</v>
      </c>
      <c r="G40" s="2">
        <v>73</v>
      </c>
      <c r="H40" s="2">
        <v>61</v>
      </c>
      <c r="I40" s="1">
        <v>3.6</v>
      </c>
      <c r="J40" s="1">
        <v>3.75</v>
      </c>
      <c r="K40" s="1">
        <v>3.6666666666666665</v>
      </c>
      <c r="L40" s="1">
        <v>4.5</v>
      </c>
      <c r="M40" s="1">
        <f t="shared" si="0"/>
        <v>3.8791666666666664</v>
      </c>
      <c r="N40">
        <f t="shared" si="1"/>
        <v>0</v>
      </c>
      <c r="P40">
        <f t="shared" si="1"/>
        <v>0</v>
      </c>
      <c r="Q40" s="2">
        <v>54</v>
      </c>
      <c r="R40" s="2">
        <v>73</v>
      </c>
      <c r="S40" s="2">
        <v>61</v>
      </c>
      <c r="T40" s="2">
        <v>19</v>
      </c>
    </row>
    <row r="41" spans="1:20" x14ac:dyDescent="0.45">
      <c r="A41">
        <v>40</v>
      </c>
      <c r="B41" s="2" t="s">
        <v>8</v>
      </c>
      <c r="C41" s="2">
        <v>20</v>
      </c>
      <c r="D41" t="s">
        <v>3</v>
      </c>
      <c r="E41" s="2" t="s">
        <v>12</v>
      </c>
      <c r="F41" s="2">
        <v>51</v>
      </c>
      <c r="G41" s="2">
        <v>51</v>
      </c>
      <c r="H41" s="2">
        <v>69</v>
      </c>
      <c r="I41" s="1">
        <v>3.6</v>
      </c>
      <c r="J41" s="1">
        <v>3.5</v>
      </c>
      <c r="K41" s="1">
        <v>3.5555555555555554</v>
      </c>
      <c r="L41" s="1">
        <v>3.75</v>
      </c>
      <c r="M41" s="1">
        <f t="shared" si="0"/>
        <v>3.6013888888888888</v>
      </c>
      <c r="N41">
        <f t="shared" si="1"/>
        <v>0</v>
      </c>
      <c r="P41">
        <f t="shared" si="1"/>
        <v>0</v>
      </c>
      <c r="Q41" s="2">
        <v>51</v>
      </c>
      <c r="R41" s="2">
        <v>51</v>
      </c>
      <c r="S41" s="2">
        <v>69</v>
      </c>
      <c r="T41" s="2">
        <v>20</v>
      </c>
    </row>
    <row r="42" spans="1:20" x14ac:dyDescent="0.45">
      <c r="A42">
        <v>41</v>
      </c>
      <c r="B42" s="2" t="s">
        <v>9</v>
      </c>
      <c r="C42" s="2">
        <v>19</v>
      </c>
      <c r="D42" t="s">
        <v>10</v>
      </c>
      <c r="E42" s="2" t="s">
        <v>13</v>
      </c>
      <c r="F42" s="2">
        <v>86</v>
      </c>
      <c r="G42" s="2">
        <v>69</v>
      </c>
      <c r="H42" s="2">
        <v>77</v>
      </c>
      <c r="I42" s="1">
        <v>4.5999999999999996</v>
      </c>
      <c r="J42" s="1">
        <v>4</v>
      </c>
      <c r="K42" s="1">
        <v>4.4444444444444446</v>
      </c>
      <c r="L42" s="1">
        <v>5</v>
      </c>
      <c r="M42" s="1">
        <f t="shared" si="0"/>
        <v>4.5111111111111111</v>
      </c>
      <c r="N42">
        <f t="shared" si="1"/>
        <v>0</v>
      </c>
      <c r="P42">
        <f t="shared" si="1"/>
        <v>0</v>
      </c>
      <c r="Q42" s="2">
        <v>86</v>
      </c>
      <c r="R42" s="2">
        <v>69</v>
      </c>
      <c r="S42" s="2">
        <v>77</v>
      </c>
      <c r="T42" s="2">
        <v>19</v>
      </c>
    </row>
    <row r="43" spans="1:20" x14ac:dyDescent="0.45">
      <c r="A43">
        <v>42</v>
      </c>
      <c r="B43" s="2" t="s">
        <v>8</v>
      </c>
      <c r="C43" s="2">
        <v>19</v>
      </c>
      <c r="D43" t="s">
        <v>10</v>
      </c>
      <c r="E43" s="2" t="s">
        <v>12</v>
      </c>
      <c r="F43" s="2">
        <v>71</v>
      </c>
      <c r="G43" s="2">
        <v>73</v>
      </c>
      <c r="H43" s="2">
        <v>49</v>
      </c>
      <c r="I43" s="1">
        <v>3</v>
      </c>
      <c r="J43" s="1">
        <v>3.5</v>
      </c>
      <c r="K43" s="1">
        <v>3.3333333333333335</v>
      </c>
      <c r="L43" s="1">
        <v>3</v>
      </c>
      <c r="M43" s="1">
        <f t="shared" si="0"/>
        <v>3.2083333333333335</v>
      </c>
      <c r="N43">
        <f t="shared" si="1"/>
        <v>0</v>
      </c>
      <c r="P43">
        <f t="shared" si="1"/>
        <v>0</v>
      </c>
      <c r="Q43" s="2">
        <v>71</v>
      </c>
      <c r="R43" s="2">
        <v>73</v>
      </c>
      <c r="S43" s="2">
        <v>49</v>
      </c>
      <c r="T43" s="2">
        <v>19</v>
      </c>
    </row>
    <row r="44" spans="1:20" x14ac:dyDescent="0.45">
      <c r="A44">
        <v>43</v>
      </c>
      <c r="B44" s="2" t="s">
        <v>8</v>
      </c>
      <c r="C44" s="2">
        <v>20</v>
      </c>
      <c r="D44" t="s">
        <v>4</v>
      </c>
      <c r="E44" s="2" t="s">
        <v>12</v>
      </c>
      <c r="F44" s="2">
        <v>49</v>
      </c>
      <c r="G44" s="2">
        <v>47</v>
      </c>
      <c r="H44" s="2">
        <v>62</v>
      </c>
      <c r="I44" s="1">
        <v>3.9</v>
      </c>
      <c r="J44" s="1">
        <v>4.25</v>
      </c>
      <c r="K44" s="1">
        <v>3.7777777777777777</v>
      </c>
      <c r="L44" s="1">
        <v>4.75</v>
      </c>
      <c r="M44" s="1">
        <f t="shared" si="0"/>
        <v>4.1694444444444443</v>
      </c>
      <c r="N44">
        <f t="shared" si="1"/>
        <v>0</v>
      </c>
      <c r="P44">
        <f t="shared" si="1"/>
        <v>0</v>
      </c>
      <c r="Q44" s="2">
        <v>49</v>
      </c>
      <c r="R44" s="2">
        <v>47</v>
      </c>
      <c r="S44" s="2">
        <v>62</v>
      </c>
      <c r="T44" s="2">
        <v>20</v>
      </c>
    </row>
    <row r="45" spans="1:20" x14ac:dyDescent="0.45">
      <c r="A45">
        <v>44</v>
      </c>
      <c r="B45" s="2" t="s">
        <v>9</v>
      </c>
      <c r="C45" s="2">
        <v>20</v>
      </c>
      <c r="D45" t="s">
        <v>10</v>
      </c>
      <c r="E45" s="2" t="s">
        <v>13</v>
      </c>
      <c r="F45" s="2">
        <v>50</v>
      </c>
      <c r="G45" s="2">
        <v>90</v>
      </c>
      <c r="H45" s="2">
        <v>82</v>
      </c>
      <c r="I45" s="1">
        <v>4.5</v>
      </c>
      <c r="J45" s="1">
        <v>5</v>
      </c>
      <c r="K45" s="1">
        <v>5</v>
      </c>
      <c r="L45" s="1">
        <v>5</v>
      </c>
      <c r="M45" s="1">
        <f t="shared" si="0"/>
        <v>4.875</v>
      </c>
      <c r="N45">
        <f t="shared" si="1"/>
        <v>0</v>
      </c>
      <c r="P45">
        <f t="shared" si="1"/>
        <v>0</v>
      </c>
      <c r="Q45" s="2">
        <v>50</v>
      </c>
      <c r="R45" s="2">
        <v>90</v>
      </c>
      <c r="S45" s="2">
        <v>82</v>
      </c>
      <c r="T45" s="2">
        <v>20</v>
      </c>
    </row>
    <row r="46" spans="1:20" x14ac:dyDescent="0.45">
      <c r="A46">
        <v>45</v>
      </c>
      <c r="B46" s="2" t="s">
        <v>9</v>
      </c>
      <c r="C46" s="2">
        <v>20</v>
      </c>
      <c r="D46" t="s">
        <v>4</v>
      </c>
      <c r="E46" s="2" t="s">
        <v>13</v>
      </c>
      <c r="F46" s="2">
        <v>64</v>
      </c>
      <c r="G46" s="2">
        <v>62</v>
      </c>
      <c r="H46" s="2">
        <v>67</v>
      </c>
      <c r="I46" s="1">
        <v>4.2</v>
      </c>
      <c r="J46" s="1">
        <v>4.25</v>
      </c>
      <c r="K46" s="1">
        <v>4.5555555555555554</v>
      </c>
      <c r="L46" s="1">
        <v>4.333333333333333</v>
      </c>
      <c r="M46" s="1">
        <f t="shared" si="0"/>
        <v>4.3347222222222221</v>
      </c>
      <c r="N46">
        <f t="shared" si="1"/>
        <v>0</v>
      </c>
      <c r="P46">
        <f t="shared" si="1"/>
        <v>0</v>
      </c>
      <c r="Q46" s="2">
        <v>64</v>
      </c>
      <c r="R46" s="2">
        <v>62</v>
      </c>
      <c r="S46" s="2">
        <v>67</v>
      </c>
      <c r="T46" s="2">
        <v>20</v>
      </c>
    </row>
    <row r="47" spans="1:20" x14ac:dyDescent="0.45">
      <c r="A47">
        <v>46</v>
      </c>
      <c r="B47" s="2" t="s">
        <v>8</v>
      </c>
      <c r="C47" s="2">
        <v>20</v>
      </c>
      <c r="D47" t="s">
        <v>10</v>
      </c>
      <c r="E47" s="2" t="s">
        <v>13</v>
      </c>
      <c r="F47" s="2">
        <v>75</v>
      </c>
      <c r="G47" s="2">
        <v>67</v>
      </c>
      <c r="H47" s="2">
        <v>58</v>
      </c>
      <c r="I47" s="1">
        <v>4.2</v>
      </c>
      <c r="J47" s="1">
        <v>4</v>
      </c>
      <c r="K47" s="1">
        <v>4.1111111111111107</v>
      </c>
      <c r="L47" s="1">
        <v>4.25</v>
      </c>
      <c r="M47" s="1">
        <f t="shared" si="0"/>
        <v>4.1402777777777775</v>
      </c>
      <c r="N47">
        <f t="shared" si="1"/>
        <v>0</v>
      </c>
      <c r="P47">
        <f t="shared" si="1"/>
        <v>0</v>
      </c>
      <c r="Q47" s="2">
        <v>75</v>
      </c>
      <c r="R47" s="2">
        <v>67</v>
      </c>
      <c r="S47" s="2">
        <v>58</v>
      </c>
      <c r="T47" s="2">
        <v>20</v>
      </c>
    </row>
    <row r="48" spans="1:20" x14ac:dyDescent="0.45">
      <c r="A48">
        <v>47</v>
      </c>
      <c r="B48" s="2" t="s">
        <v>8</v>
      </c>
      <c r="C48" s="2">
        <v>20</v>
      </c>
      <c r="D48" t="s">
        <v>3</v>
      </c>
      <c r="E48" s="2" t="s">
        <v>13</v>
      </c>
      <c r="F48" s="2">
        <v>52</v>
      </c>
      <c r="G48" s="2">
        <v>63</v>
      </c>
      <c r="H48" s="2">
        <v>68</v>
      </c>
      <c r="I48" s="1">
        <v>4.8</v>
      </c>
      <c r="J48" s="1">
        <v>4.75</v>
      </c>
      <c r="K48" s="1">
        <v>5</v>
      </c>
      <c r="L48" s="1">
        <v>4.75</v>
      </c>
      <c r="M48" s="1">
        <f t="shared" si="0"/>
        <v>4.8250000000000002</v>
      </c>
      <c r="N48">
        <f t="shared" si="1"/>
        <v>0</v>
      </c>
      <c r="P48">
        <f t="shared" si="1"/>
        <v>0</v>
      </c>
      <c r="Q48" s="2">
        <v>52</v>
      </c>
      <c r="R48" s="2">
        <v>63</v>
      </c>
      <c r="S48" s="2">
        <v>68</v>
      </c>
      <c r="T48" s="2">
        <v>20</v>
      </c>
    </row>
    <row r="49" spans="1:20" x14ac:dyDescent="0.45">
      <c r="A49">
        <v>48</v>
      </c>
      <c r="B49" s="2" t="s">
        <v>8</v>
      </c>
      <c r="C49" s="2">
        <v>19</v>
      </c>
      <c r="D49" t="s">
        <v>10</v>
      </c>
      <c r="E49" s="2" t="s">
        <v>12</v>
      </c>
      <c r="F49" s="2">
        <v>65</v>
      </c>
      <c r="G49" s="2">
        <v>38</v>
      </c>
      <c r="H49" s="2">
        <v>41</v>
      </c>
      <c r="I49" s="1">
        <v>4.2</v>
      </c>
      <c r="J49" s="1">
        <v>4.75</v>
      </c>
      <c r="K49" s="1">
        <v>4.333333333333333</v>
      </c>
      <c r="L49" s="1">
        <v>4</v>
      </c>
      <c r="M49" s="1">
        <f t="shared" si="0"/>
        <v>4.3208333333333329</v>
      </c>
      <c r="N49">
        <f t="shared" si="1"/>
        <v>0</v>
      </c>
      <c r="P49">
        <f t="shared" si="1"/>
        <v>0</v>
      </c>
      <c r="Q49" s="2">
        <v>65</v>
      </c>
      <c r="R49" s="2">
        <v>38</v>
      </c>
      <c r="S49" s="2">
        <v>41</v>
      </c>
      <c r="T49" s="2">
        <v>19</v>
      </c>
    </row>
    <row r="50" spans="1:20" x14ac:dyDescent="0.45">
      <c r="A50">
        <v>49</v>
      </c>
      <c r="B50" s="2" t="s">
        <v>9</v>
      </c>
      <c r="C50" s="2">
        <v>20</v>
      </c>
      <c r="D50" t="s">
        <v>10</v>
      </c>
      <c r="E50" s="2" t="s">
        <v>12</v>
      </c>
      <c r="F50" s="2">
        <v>64</v>
      </c>
      <c r="G50" s="2">
        <v>72</v>
      </c>
      <c r="H50" s="2">
        <v>57</v>
      </c>
      <c r="I50" s="1">
        <v>2.8</v>
      </c>
      <c r="J50" s="1">
        <v>4.25</v>
      </c>
      <c r="K50" s="1">
        <v>3.8888888888888888</v>
      </c>
      <c r="L50" s="1">
        <v>3.75</v>
      </c>
      <c r="M50" s="1">
        <f t="shared" si="0"/>
        <v>3.6722222222222221</v>
      </c>
      <c r="N50">
        <f t="shared" si="1"/>
        <v>0</v>
      </c>
      <c r="P50">
        <f t="shared" si="1"/>
        <v>0</v>
      </c>
      <c r="Q50" s="2">
        <v>64</v>
      </c>
      <c r="R50" s="2">
        <v>72</v>
      </c>
      <c r="S50" s="2">
        <v>57</v>
      </c>
      <c r="T50" s="2">
        <v>20</v>
      </c>
    </row>
    <row r="51" spans="1:20" x14ac:dyDescent="0.45">
      <c r="A51">
        <v>50</v>
      </c>
      <c r="B51" s="2" t="s">
        <v>8</v>
      </c>
      <c r="C51" s="2">
        <v>21</v>
      </c>
      <c r="D51" t="s">
        <v>2</v>
      </c>
      <c r="E51" s="2" t="s">
        <v>12</v>
      </c>
      <c r="F51" s="2">
        <v>73</v>
      </c>
      <c r="G51" s="2">
        <v>77</v>
      </c>
      <c r="H51" s="2">
        <v>74</v>
      </c>
      <c r="I51" s="1">
        <v>3.2</v>
      </c>
      <c r="J51" s="1">
        <v>4.5</v>
      </c>
      <c r="K51" s="1">
        <v>3.8888888888888888</v>
      </c>
      <c r="L51" s="1">
        <v>4.5</v>
      </c>
      <c r="M51" s="1">
        <f t="shared" si="0"/>
        <v>4.0222222222222221</v>
      </c>
      <c r="N51">
        <f t="shared" si="1"/>
        <v>0</v>
      </c>
      <c r="P51">
        <f t="shared" si="1"/>
        <v>0</v>
      </c>
      <c r="Q51" s="2">
        <v>73</v>
      </c>
      <c r="R51" s="2">
        <v>77</v>
      </c>
      <c r="S51" s="2">
        <v>74</v>
      </c>
      <c r="T51" s="2">
        <v>21</v>
      </c>
    </row>
    <row r="52" spans="1:20" x14ac:dyDescent="0.45">
      <c r="A52">
        <v>51</v>
      </c>
      <c r="B52" s="2" t="s">
        <v>8</v>
      </c>
      <c r="C52" s="2">
        <v>18</v>
      </c>
      <c r="D52" t="s">
        <v>10</v>
      </c>
      <c r="E52" s="2" t="s">
        <v>12</v>
      </c>
      <c r="F52" s="2">
        <v>55</v>
      </c>
      <c r="G52" s="2">
        <v>60</v>
      </c>
      <c r="H52" s="2">
        <v>77</v>
      </c>
      <c r="I52" s="1">
        <v>4</v>
      </c>
      <c r="J52" s="1">
        <v>4</v>
      </c>
      <c r="K52" s="1">
        <v>4.1111111111111107</v>
      </c>
      <c r="L52" s="1">
        <v>5</v>
      </c>
      <c r="M52" s="1">
        <f t="shared" si="0"/>
        <v>4.2777777777777777</v>
      </c>
      <c r="N52">
        <f t="shared" si="1"/>
        <v>0</v>
      </c>
      <c r="P52">
        <f t="shared" si="1"/>
        <v>0</v>
      </c>
      <c r="Q52" s="2">
        <v>55</v>
      </c>
      <c r="R52" s="2">
        <v>60</v>
      </c>
      <c r="S52" s="2">
        <v>77</v>
      </c>
      <c r="T52" s="2">
        <v>18</v>
      </c>
    </row>
    <row r="53" spans="1:20" x14ac:dyDescent="0.45">
      <c r="A53">
        <v>52</v>
      </c>
      <c r="B53" s="2" t="s">
        <v>8</v>
      </c>
      <c r="C53" s="2">
        <v>20</v>
      </c>
      <c r="D53" t="s">
        <v>10</v>
      </c>
      <c r="E53" s="2" t="s">
        <v>12</v>
      </c>
      <c r="F53" s="2">
        <v>66</v>
      </c>
      <c r="G53" s="2">
        <v>29</v>
      </c>
      <c r="H53" s="2">
        <v>41</v>
      </c>
      <c r="I53" s="1">
        <v>4.2</v>
      </c>
      <c r="J53" s="1">
        <v>4.5</v>
      </c>
      <c r="K53" s="1">
        <v>4</v>
      </c>
      <c r="L53" s="1">
        <v>4</v>
      </c>
      <c r="M53" s="1">
        <f t="shared" si="0"/>
        <v>4.1749999999999998</v>
      </c>
      <c r="N53">
        <f t="shared" si="1"/>
        <v>0</v>
      </c>
      <c r="P53">
        <f t="shared" si="1"/>
        <v>0</v>
      </c>
      <c r="Q53" s="2">
        <v>66</v>
      </c>
      <c r="R53" s="2">
        <v>29</v>
      </c>
      <c r="S53" s="2">
        <v>41</v>
      </c>
      <c r="T53" s="2">
        <v>20</v>
      </c>
    </row>
    <row r="54" spans="1:20" x14ac:dyDescent="0.45">
      <c r="A54">
        <v>53</v>
      </c>
      <c r="B54" s="2" t="s">
        <v>8</v>
      </c>
      <c r="C54" s="2">
        <v>21</v>
      </c>
      <c r="D54" t="s">
        <v>2</v>
      </c>
      <c r="E54" s="2" t="s">
        <v>13</v>
      </c>
      <c r="F54" s="2">
        <v>86</v>
      </c>
      <c r="G54" s="2">
        <v>42</v>
      </c>
      <c r="H54" s="2">
        <v>52</v>
      </c>
      <c r="I54" s="1">
        <v>3.3</v>
      </c>
      <c r="J54" s="1">
        <v>3.75</v>
      </c>
      <c r="K54" s="1">
        <v>3.6666666666666665</v>
      </c>
      <c r="L54" s="1">
        <v>3.25</v>
      </c>
      <c r="M54" s="1">
        <f t="shared" si="0"/>
        <v>3.4916666666666667</v>
      </c>
      <c r="N54">
        <f t="shared" si="1"/>
        <v>0</v>
      </c>
      <c r="P54">
        <f t="shared" si="1"/>
        <v>0</v>
      </c>
      <c r="Q54" s="2">
        <v>86</v>
      </c>
      <c r="R54" s="2">
        <v>42</v>
      </c>
      <c r="S54" s="2">
        <v>52</v>
      </c>
      <c r="T54" s="2">
        <v>21</v>
      </c>
    </row>
    <row r="55" spans="1:20" x14ac:dyDescent="0.45">
      <c r="A55">
        <v>54</v>
      </c>
      <c r="B55" s="2" t="s">
        <v>8</v>
      </c>
      <c r="C55" s="2">
        <v>21</v>
      </c>
      <c r="D55" t="s">
        <v>3</v>
      </c>
      <c r="E55" s="2" t="s">
        <v>12</v>
      </c>
      <c r="F55" s="2">
        <v>53</v>
      </c>
      <c r="G55" s="2">
        <v>76</v>
      </c>
      <c r="H55" s="2">
        <v>43</v>
      </c>
      <c r="I55" s="1">
        <v>3.6</v>
      </c>
      <c r="J55" s="1">
        <v>3.5</v>
      </c>
      <c r="K55" s="1">
        <v>3.5555555555555554</v>
      </c>
      <c r="L55" s="1">
        <v>3.25</v>
      </c>
      <c r="M55" s="1">
        <f t="shared" si="0"/>
        <v>3.4763888888888888</v>
      </c>
      <c r="N55">
        <f t="shared" si="1"/>
        <v>0</v>
      </c>
      <c r="P55">
        <f t="shared" si="1"/>
        <v>0</v>
      </c>
      <c r="Q55" s="2">
        <v>53</v>
      </c>
      <c r="R55" s="2">
        <v>76</v>
      </c>
      <c r="S55" s="2">
        <v>43</v>
      </c>
      <c r="T55" s="2">
        <v>21</v>
      </c>
    </row>
    <row r="56" spans="1:20" x14ac:dyDescent="0.45">
      <c r="A56">
        <v>55</v>
      </c>
      <c r="B56" s="2" t="s">
        <v>8</v>
      </c>
      <c r="C56" s="2">
        <v>21</v>
      </c>
      <c r="D56" t="s">
        <v>2</v>
      </c>
      <c r="E56" s="2" t="s">
        <v>13</v>
      </c>
      <c r="F56" s="2">
        <v>96</v>
      </c>
      <c r="G56" s="2">
        <v>75</v>
      </c>
      <c r="H56" s="2">
        <v>62</v>
      </c>
      <c r="I56" s="1">
        <v>3.5</v>
      </c>
      <c r="J56" s="1">
        <v>4</v>
      </c>
      <c r="K56" s="1">
        <v>3.4444444444444446</v>
      </c>
      <c r="L56" s="1">
        <v>3.75</v>
      </c>
      <c r="M56" s="1">
        <f t="shared" si="0"/>
        <v>3.6736111111111112</v>
      </c>
      <c r="N56">
        <f t="shared" si="1"/>
        <v>0</v>
      </c>
      <c r="P56">
        <f t="shared" si="1"/>
        <v>0</v>
      </c>
      <c r="Q56" s="2">
        <v>96</v>
      </c>
      <c r="R56" s="2">
        <v>75</v>
      </c>
      <c r="S56" s="2">
        <v>62</v>
      </c>
      <c r="T56" s="2">
        <v>21</v>
      </c>
    </row>
    <row r="57" spans="1:20" x14ac:dyDescent="0.45">
      <c r="A57">
        <v>56</v>
      </c>
      <c r="B57" s="2" t="s">
        <v>8</v>
      </c>
      <c r="C57" s="2">
        <v>21</v>
      </c>
      <c r="D57" t="s">
        <v>10</v>
      </c>
      <c r="E57" s="2" t="s">
        <v>13</v>
      </c>
      <c r="F57" s="2">
        <v>70</v>
      </c>
      <c r="G57" s="2">
        <v>69</v>
      </c>
      <c r="H57" s="2">
        <v>64</v>
      </c>
      <c r="I57" s="1">
        <v>4.3</v>
      </c>
      <c r="J57" s="1">
        <v>4</v>
      </c>
      <c r="K57" s="1">
        <v>3.8888888888888888</v>
      </c>
      <c r="L57" s="1">
        <v>5</v>
      </c>
      <c r="M57" s="1">
        <f t="shared" si="0"/>
        <v>4.2972222222222225</v>
      </c>
      <c r="N57">
        <f t="shared" si="1"/>
        <v>0</v>
      </c>
      <c r="P57">
        <f t="shared" si="1"/>
        <v>0</v>
      </c>
      <c r="Q57" s="2">
        <v>70</v>
      </c>
      <c r="R57" s="2">
        <v>69</v>
      </c>
      <c r="S57" s="2">
        <v>64</v>
      </c>
      <c r="T57" s="2">
        <v>21</v>
      </c>
    </row>
    <row r="58" spans="1:20" x14ac:dyDescent="0.45">
      <c r="A58">
        <v>57</v>
      </c>
      <c r="B58" s="2" t="s">
        <v>8</v>
      </c>
      <c r="C58" s="2">
        <v>22</v>
      </c>
      <c r="D58" t="s">
        <v>10</v>
      </c>
      <c r="E58" s="2" t="s">
        <v>13</v>
      </c>
      <c r="F58" s="2">
        <v>69</v>
      </c>
      <c r="G58" s="2">
        <v>68</v>
      </c>
      <c r="H58" s="2">
        <v>53</v>
      </c>
      <c r="I58" s="1">
        <v>3.8</v>
      </c>
      <c r="J58" s="1">
        <v>5</v>
      </c>
      <c r="K58" s="1">
        <v>4.7777777777777777</v>
      </c>
      <c r="L58" s="1">
        <v>5</v>
      </c>
      <c r="M58" s="1">
        <f t="shared" si="0"/>
        <v>4.6444444444444448</v>
      </c>
      <c r="N58">
        <f t="shared" si="1"/>
        <v>0</v>
      </c>
      <c r="P58">
        <f t="shared" si="1"/>
        <v>0</v>
      </c>
      <c r="Q58" s="2">
        <v>69</v>
      </c>
      <c r="R58" s="2">
        <v>68</v>
      </c>
      <c r="S58" s="2">
        <v>53</v>
      </c>
      <c r="T58" s="2">
        <v>22</v>
      </c>
    </row>
    <row r="59" spans="1:20" x14ac:dyDescent="0.45">
      <c r="A59">
        <v>58</v>
      </c>
      <c r="B59" s="2" t="s">
        <v>8</v>
      </c>
      <c r="C59" s="2">
        <v>20</v>
      </c>
      <c r="D59" t="s">
        <v>3</v>
      </c>
      <c r="E59" s="2" t="s">
        <v>12</v>
      </c>
      <c r="F59" s="2">
        <v>57</v>
      </c>
      <c r="G59" s="2">
        <v>63</v>
      </c>
      <c r="H59" s="2">
        <v>69</v>
      </c>
      <c r="I59" s="1">
        <v>4.2</v>
      </c>
      <c r="J59" s="1">
        <v>3.75</v>
      </c>
      <c r="K59" s="1">
        <v>4.4444444444444446</v>
      </c>
      <c r="L59" s="1">
        <v>4.5</v>
      </c>
      <c r="M59" s="1">
        <f t="shared" si="0"/>
        <v>4.2236111111111114</v>
      </c>
      <c r="N59">
        <f t="shared" si="1"/>
        <v>0</v>
      </c>
      <c r="P59">
        <f t="shared" si="1"/>
        <v>0</v>
      </c>
      <c r="Q59" s="2">
        <v>57</v>
      </c>
      <c r="R59" s="2">
        <v>63</v>
      </c>
      <c r="S59" s="2">
        <v>69</v>
      </c>
      <c r="T59" s="2">
        <v>20</v>
      </c>
    </row>
    <row r="60" spans="1:20" x14ac:dyDescent="0.45">
      <c r="A60">
        <v>59</v>
      </c>
      <c r="B60" s="2" t="s">
        <v>9</v>
      </c>
      <c r="C60" s="2">
        <v>19</v>
      </c>
      <c r="D60" t="s">
        <v>3</v>
      </c>
      <c r="E60" s="2" t="s">
        <v>13</v>
      </c>
      <c r="F60" s="2">
        <v>80</v>
      </c>
      <c r="G60" s="2">
        <v>36</v>
      </c>
      <c r="H60" s="2">
        <v>54</v>
      </c>
      <c r="I60" s="1">
        <v>3.8</v>
      </c>
      <c r="J60" s="1">
        <v>2.75</v>
      </c>
      <c r="K60" s="1">
        <v>3.4444444444444446</v>
      </c>
      <c r="L60" s="1">
        <v>4.25</v>
      </c>
      <c r="M60" s="1">
        <f t="shared" si="0"/>
        <v>3.5611111111111109</v>
      </c>
      <c r="N60">
        <f t="shared" si="1"/>
        <v>0</v>
      </c>
      <c r="P60">
        <f t="shared" si="1"/>
        <v>0</v>
      </c>
      <c r="Q60" s="2">
        <v>80</v>
      </c>
      <c r="R60" s="2">
        <v>36</v>
      </c>
      <c r="S60" s="2">
        <v>54</v>
      </c>
      <c r="T60" s="2">
        <v>19</v>
      </c>
    </row>
    <row r="61" spans="1:20" x14ac:dyDescent="0.45">
      <c r="A61">
        <v>60</v>
      </c>
      <c r="B61" s="2" t="s">
        <v>9</v>
      </c>
      <c r="C61" s="2">
        <v>19</v>
      </c>
      <c r="D61" t="s">
        <v>10</v>
      </c>
      <c r="E61" s="2" t="s">
        <v>13</v>
      </c>
      <c r="F61" s="2">
        <v>73</v>
      </c>
      <c r="G61" s="2">
        <v>66</v>
      </c>
      <c r="H61" s="2">
        <v>55</v>
      </c>
      <c r="I61" s="1">
        <v>4.0999999999999996</v>
      </c>
      <c r="J61" s="1">
        <v>4</v>
      </c>
      <c r="K61" s="1">
        <v>4</v>
      </c>
      <c r="L61" s="1">
        <v>4</v>
      </c>
      <c r="M61" s="1">
        <f t="shared" si="0"/>
        <v>4.0250000000000004</v>
      </c>
      <c r="N61">
        <f t="shared" si="1"/>
        <v>0</v>
      </c>
      <c r="P61">
        <f t="shared" si="1"/>
        <v>0</v>
      </c>
      <c r="Q61" s="2">
        <v>73</v>
      </c>
      <c r="R61" s="2">
        <v>66</v>
      </c>
      <c r="S61" s="2">
        <v>55</v>
      </c>
      <c r="T61" s="2">
        <v>19</v>
      </c>
    </row>
    <row r="62" spans="1:20" x14ac:dyDescent="0.45">
      <c r="A62">
        <v>61</v>
      </c>
      <c r="B62" s="2" t="s">
        <v>8</v>
      </c>
      <c r="C62" s="2">
        <v>21</v>
      </c>
      <c r="D62" t="s">
        <v>10</v>
      </c>
      <c r="E62" s="2" t="s">
        <v>13</v>
      </c>
      <c r="F62" s="2">
        <v>64</v>
      </c>
      <c r="G62" s="2">
        <v>64</v>
      </c>
      <c r="H62" s="2">
        <v>81</v>
      </c>
      <c r="I62" s="1">
        <v>4.0999999999999996</v>
      </c>
      <c r="J62" s="1">
        <v>5</v>
      </c>
      <c r="K62" s="1">
        <v>4.8888888888888893</v>
      </c>
      <c r="L62" s="1">
        <v>5</v>
      </c>
      <c r="M62" s="1">
        <f t="shared" si="0"/>
        <v>4.7472222222222218</v>
      </c>
      <c r="N62">
        <f t="shared" si="1"/>
        <v>0</v>
      </c>
      <c r="P62">
        <f t="shared" si="1"/>
        <v>0</v>
      </c>
      <c r="Q62" s="2">
        <v>64</v>
      </c>
      <c r="R62" s="2">
        <v>64</v>
      </c>
      <c r="S62" s="2">
        <v>81</v>
      </c>
      <c r="T62" s="2">
        <v>21</v>
      </c>
    </row>
    <row r="63" spans="1:20" x14ac:dyDescent="0.45">
      <c r="A63">
        <v>62</v>
      </c>
      <c r="B63" s="2" t="s">
        <v>8</v>
      </c>
      <c r="C63" s="2">
        <v>22</v>
      </c>
      <c r="D63" t="s">
        <v>3</v>
      </c>
      <c r="E63" s="2" t="s">
        <v>12</v>
      </c>
      <c r="F63" s="2">
        <v>64</v>
      </c>
      <c r="G63" s="2">
        <v>61</v>
      </c>
      <c r="H63" s="2">
        <v>69</v>
      </c>
      <c r="I63" s="1">
        <v>3.9</v>
      </c>
      <c r="J63" s="1">
        <v>4</v>
      </c>
      <c r="K63" s="1">
        <v>4.1111111111111107</v>
      </c>
      <c r="L63" s="1">
        <v>4</v>
      </c>
      <c r="M63" s="1">
        <f t="shared" si="0"/>
        <v>4.0027777777777782</v>
      </c>
      <c r="N63">
        <f t="shared" si="1"/>
        <v>0</v>
      </c>
      <c r="P63">
        <f t="shared" si="1"/>
        <v>0</v>
      </c>
      <c r="Q63" s="2">
        <v>64</v>
      </c>
      <c r="R63" s="2">
        <v>61</v>
      </c>
      <c r="S63" s="2">
        <v>69</v>
      </c>
      <c r="T63" s="2">
        <v>22</v>
      </c>
    </row>
    <row r="64" spans="1:20" x14ac:dyDescent="0.45">
      <c r="A64">
        <v>63</v>
      </c>
      <c r="B64" s="2" t="s">
        <v>9</v>
      </c>
      <c r="C64" s="2">
        <v>21</v>
      </c>
      <c r="D64" t="s">
        <v>10</v>
      </c>
      <c r="E64" s="2" t="s">
        <v>12</v>
      </c>
      <c r="F64" s="2">
        <v>89</v>
      </c>
      <c r="G64" s="2">
        <v>68</v>
      </c>
      <c r="H64" s="2">
        <v>74</v>
      </c>
      <c r="I64" s="1">
        <v>4.5</v>
      </c>
      <c r="J64" s="1">
        <v>3.25</v>
      </c>
      <c r="K64" s="1">
        <v>4.333333333333333</v>
      </c>
      <c r="L64" s="1">
        <v>4.75</v>
      </c>
      <c r="M64" s="1">
        <f t="shared" si="0"/>
        <v>4.208333333333333</v>
      </c>
      <c r="N64">
        <f t="shared" si="1"/>
        <v>0</v>
      </c>
      <c r="P64">
        <f t="shared" si="1"/>
        <v>0</v>
      </c>
      <c r="Q64" s="2">
        <v>89</v>
      </c>
      <c r="R64" s="2">
        <v>68</v>
      </c>
      <c r="S64" s="2">
        <v>74</v>
      </c>
      <c r="T64" s="2">
        <v>21</v>
      </c>
    </row>
    <row r="65" spans="1:20" x14ac:dyDescent="0.45">
      <c r="A65">
        <v>64</v>
      </c>
      <c r="B65" s="2" t="s">
        <v>8</v>
      </c>
      <c r="C65" s="2">
        <v>20</v>
      </c>
      <c r="D65" t="s">
        <v>2</v>
      </c>
      <c r="E65" s="2" t="s">
        <v>12</v>
      </c>
      <c r="F65" s="2">
        <v>89</v>
      </c>
      <c r="G65" s="2">
        <v>48</v>
      </c>
      <c r="H65" s="2">
        <v>66</v>
      </c>
      <c r="I65" s="1">
        <v>4.4000000000000004</v>
      </c>
      <c r="J65" s="1">
        <v>4.75</v>
      </c>
      <c r="K65" s="1">
        <v>4.7777777777777777</v>
      </c>
      <c r="L65" s="1">
        <v>4</v>
      </c>
      <c r="M65" s="1">
        <f t="shared" si="0"/>
        <v>4.4819444444444443</v>
      </c>
      <c r="N65">
        <f t="shared" si="1"/>
        <v>0</v>
      </c>
      <c r="P65">
        <f t="shared" si="1"/>
        <v>0</v>
      </c>
      <c r="Q65" s="2">
        <v>89</v>
      </c>
      <c r="R65" s="2">
        <v>48</v>
      </c>
      <c r="S65" s="2">
        <v>66</v>
      </c>
      <c r="T65" s="2">
        <v>20</v>
      </c>
    </row>
    <row r="66" spans="1:20" x14ac:dyDescent="0.45">
      <c r="A66">
        <v>65</v>
      </c>
      <c r="B66" s="2" t="s">
        <v>8</v>
      </c>
      <c r="C66" s="2">
        <v>21</v>
      </c>
      <c r="D66" t="s">
        <v>10</v>
      </c>
      <c r="E66" s="2" t="s">
        <v>12</v>
      </c>
      <c r="F66" s="2">
        <v>83</v>
      </c>
      <c r="G66" s="2">
        <v>41</v>
      </c>
      <c r="H66" s="2">
        <v>66</v>
      </c>
      <c r="I66" s="1">
        <v>4.5</v>
      </c>
      <c r="J66" s="1">
        <v>4</v>
      </c>
      <c r="K66" s="1">
        <v>3.6666666666666665</v>
      </c>
      <c r="L66" s="1">
        <v>4.25</v>
      </c>
      <c r="M66" s="1">
        <f t="shared" si="0"/>
        <v>4.1041666666666661</v>
      </c>
      <c r="N66">
        <f t="shared" si="1"/>
        <v>0</v>
      </c>
      <c r="P66">
        <f t="shared" si="1"/>
        <v>0</v>
      </c>
      <c r="Q66" s="2">
        <v>83</v>
      </c>
      <c r="R66" s="2">
        <v>41</v>
      </c>
      <c r="S66" s="2">
        <v>66</v>
      </c>
      <c r="T66" s="2">
        <v>21</v>
      </c>
    </row>
    <row r="67" spans="1:20" x14ac:dyDescent="0.45">
      <c r="A67">
        <v>66</v>
      </c>
      <c r="B67" s="2" t="s">
        <v>8</v>
      </c>
      <c r="C67" s="2">
        <v>18</v>
      </c>
      <c r="D67" t="s">
        <v>10</v>
      </c>
      <c r="E67" s="2" t="s">
        <v>12</v>
      </c>
      <c r="F67" s="2">
        <v>75</v>
      </c>
      <c r="G67" s="2">
        <v>82</v>
      </c>
      <c r="H67" s="2">
        <v>49</v>
      </c>
      <c r="I67" s="1">
        <v>3.4</v>
      </c>
      <c r="J67" s="1">
        <v>3.25</v>
      </c>
      <c r="K67" s="1">
        <v>3.5555555555555554</v>
      </c>
      <c r="L67" s="1">
        <v>4</v>
      </c>
      <c r="M67" s="1">
        <f t="shared" ref="M67:M121" si="2">AVERAGE(I67:L67)</f>
        <v>3.5513888888888889</v>
      </c>
      <c r="N67">
        <f t="shared" ref="N67:P121" si="3">IF(E67="Yes",1,0)</f>
        <v>0</v>
      </c>
      <c r="P67">
        <f t="shared" si="3"/>
        <v>0</v>
      </c>
      <c r="Q67" s="2">
        <v>75</v>
      </c>
      <c r="R67" s="2">
        <v>82</v>
      </c>
      <c r="S67" s="2">
        <v>49</v>
      </c>
      <c r="T67" s="2">
        <v>18</v>
      </c>
    </row>
    <row r="68" spans="1:20" x14ac:dyDescent="0.45">
      <c r="A68">
        <v>67</v>
      </c>
      <c r="B68" s="2" t="s">
        <v>9</v>
      </c>
      <c r="C68" s="2">
        <v>20</v>
      </c>
      <c r="D68" t="s">
        <v>3</v>
      </c>
      <c r="E68" s="2" t="s">
        <v>13</v>
      </c>
      <c r="F68" s="2">
        <v>66</v>
      </c>
      <c r="G68" s="2">
        <v>47</v>
      </c>
      <c r="H68" s="2">
        <v>58</v>
      </c>
      <c r="I68" s="1">
        <v>4</v>
      </c>
      <c r="J68" s="1">
        <v>4.5</v>
      </c>
      <c r="K68" s="1">
        <v>4.333333333333333</v>
      </c>
      <c r="L68" s="1">
        <v>4</v>
      </c>
      <c r="M68" s="1">
        <f t="shared" si="2"/>
        <v>4.208333333333333</v>
      </c>
      <c r="N68">
        <f t="shared" si="3"/>
        <v>0</v>
      </c>
      <c r="P68">
        <f t="shared" si="3"/>
        <v>0</v>
      </c>
      <c r="Q68" s="2">
        <v>66</v>
      </c>
      <c r="R68" s="2">
        <v>47</v>
      </c>
      <c r="S68" s="2">
        <v>58</v>
      </c>
      <c r="T68" s="2">
        <v>20</v>
      </c>
    </row>
    <row r="69" spans="1:20" x14ac:dyDescent="0.45">
      <c r="A69">
        <v>68</v>
      </c>
      <c r="B69" s="2" t="s">
        <v>8</v>
      </c>
      <c r="C69" s="2">
        <v>20</v>
      </c>
      <c r="D69" t="s">
        <v>10</v>
      </c>
      <c r="E69" s="2" t="s">
        <v>12</v>
      </c>
      <c r="F69" s="2">
        <v>61</v>
      </c>
      <c r="G69" s="2">
        <v>86</v>
      </c>
      <c r="H69" s="2">
        <v>71</v>
      </c>
      <c r="I69" s="1">
        <v>3.6</v>
      </c>
      <c r="J69" s="1">
        <v>4.75</v>
      </c>
      <c r="K69" s="1">
        <v>4.5555555555555554</v>
      </c>
      <c r="L69" s="1">
        <v>4.75</v>
      </c>
      <c r="M69" s="1">
        <f t="shared" si="2"/>
        <v>4.4138888888888888</v>
      </c>
      <c r="N69">
        <f t="shared" si="3"/>
        <v>0</v>
      </c>
      <c r="P69">
        <f t="shared" si="3"/>
        <v>0</v>
      </c>
      <c r="Q69" s="2">
        <v>61</v>
      </c>
      <c r="R69" s="2">
        <v>86</v>
      </c>
      <c r="S69" s="2">
        <v>71</v>
      </c>
      <c r="T69" s="2">
        <v>20</v>
      </c>
    </row>
    <row r="70" spans="1:20" x14ac:dyDescent="0.45">
      <c r="A70">
        <v>69</v>
      </c>
      <c r="B70" s="2" t="s">
        <v>8</v>
      </c>
      <c r="C70" s="2">
        <v>20</v>
      </c>
      <c r="D70" t="s">
        <v>2</v>
      </c>
      <c r="E70" s="2" t="s">
        <v>12</v>
      </c>
      <c r="F70" s="2">
        <v>82</v>
      </c>
      <c r="G70" s="2">
        <v>47</v>
      </c>
      <c r="H70" s="2">
        <v>62</v>
      </c>
      <c r="I70" s="1">
        <v>4.3</v>
      </c>
      <c r="J70" s="1">
        <v>4.75</v>
      </c>
      <c r="K70" s="1">
        <v>4.7777777777777777</v>
      </c>
      <c r="L70" s="1">
        <v>3.75</v>
      </c>
      <c r="M70" s="1">
        <f t="shared" si="2"/>
        <v>4.3944444444444448</v>
      </c>
      <c r="N70">
        <f t="shared" si="3"/>
        <v>0</v>
      </c>
      <c r="P70">
        <f t="shared" si="3"/>
        <v>0</v>
      </c>
      <c r="Q70" s="2">
        <v>82</v>
      </c>
      <c r="R70" s="2">
        <v>47</v>
      </c>
      <c r="S70" s="2">
        <v>62</v>
      </c>
      <c r="T70" s="2">
        <v>20</v>
      </c>
    </row>
    <row r="71" spans="1:20" x14ac:dyDescent="0.45">
      <c r="A71">
        <v>70</v>
      </c>
      <c r="B71" s="2" t="s">
        <v>8</v>
      </c>
      <c r="C71" s="2">
        <v>20</v>
      </c>
      <c r="D71" t="s">
        <v>5</v>
      </c>
      <c r="E71" s="2" t="s">
        <v>12</v>
      </c>
      <c r="F71" s="2">
        <v>70</v>
      </c>
      <c r="G71" s="2">
        <v>51</v>
      </c>
      <c r="H71" s="2">
        <v>68</v>
      </c>
      <c r="I71" s="1">
        <v>4.0999999999999996</v>
      </c>
      <c r="J71" s="1">
        <v>4.333333333333333</v>
      </c>
      <c r="K71" s="1">
        <v>4.1111111111111107</v>
      </c>
      <c r="L71" s="1">
        <v>3.75</v>
      </c>
      <c r="M71" s="1">
        <f t="shared" si="2"/>
        <v>4.0736111111111111</v>
      </c>
      <c r="N71">
        <f t="shared" si="3"/>
        <v>0</v>
      </c>
      <c r="P71">
        <f t="shared" si="3"/>
        <v>0</v>
      </c>
      <c r="Q71" s="2">
        <v>70</v>
      </c>
      <c r="R71" s="2">
        <v>51</v>
      </c>
      <c r="S71" s="2">
        <v>68</v>
      </c>
      <c r="T71" s="2">
        <v>20</v>
      </c>
    </row>
    <row r="72" spans="1:20" x14ac:dyDescent="0.45">
      <c r="A72">
        <v>71</v>
      </c>
      <c r="B72" s="2" t="s">
        <v>9</v>
      </c>
      <c r="C72" s="2">
        <v>21</v>
      </c>
      <c r="D72" t="s">
        <v>10</v>
      </c>
      <c r="E72" s="2" t="s">
        <v>13</v>
      </c>
      <c r="F72" s="2">
        <v>67</v>
      </c>
      <c r="G72" s="2">
        <v>43</v>
      </c>
      <c r="H72" s="2">
        <v>62</v>
      </c>
      <c r="I72" s="1">
        <v>4.5</v>
      </c>
      <c r="J72" s="1">
        <v>4.5</v>
      </c>
      <c r="K72" s="1">
        <v>4</v>
      </c>
      <c r="L72" s="1">
        <v>4</v>
      </c>
      <c r="M72" s="1">
        <f t="shared" si="2"/>
        <v>4.25</v>
      </c>
      <c r="N72">
        <f t="shared" si="3"/>
        <v>0</v>
      </c>
      <c r="P72">
        <f t="shared" si="3"/>
        <v>0</v>
      </c>
      <c r="Q72" s="2">
        <v>67</v>
      </c>
      <c r="R72" s="2">
        <v>43</v>
      </c>
      <c r="S72" s="2">
        <v>62</v>
      </c>
      <c r="T72" s="2">
        <v>21</v>
      </c>
    </row>
    <row r="73" spans="1:20" x14ac:dyDescent="0.45">
      <c r="A73">
        <v>72</v>
      </c>
      <c r="B73" s="2" t="s">
        <v>8</v>
      </c>
      <c r="C73" s="2">
        <v>18</v>
      </c>
      <c r="D73" t="s">
        <v>10</v>
      </c>
      <c r="E73" s="2" t="s">
        <v>13</v>
      </c>
      <c r="F73" s="2">
        <v>66</v>
      </c>
      <c r="G73" s="2">
        <v>32</v>
      </c>
      <c r="H73" s="2">
        <v>68</v>
      </c>
      <c r="I73" s="1">
        <v>3.4</v>
      </c>
      <c r="J73" s="1">
        <v>2.75</v>
      </c>
      <c r="K73" s="1">
        <v>3.5555555555555554</v>
      </c>
      <c r="L73" s="1">
        <v>4</v>
      </c>
      <c r="M73" s="1">
        <f t="shared" si="2"/>
        <v>3.4263888888888889</v>
      </c>
      <c r="N73">
        <f t="shared" si="3"/>
        <v>0</v>
      </c>
      <c r="P73">
        <f t="shared" si="3"/>
        <v>0</v>
      </c>
      <c r="Q73" s="2">
        <v>66</v>
      </c>
      <c r="R73" s="2">
        <v>32</v>
      </c>
      <c r="S73" s="2">
        <v>68</v>
      </c>
      <c r="T73" s="2">
        <v>18</v>
      </c>
    </row>
    <row r="74" spans="1:20" x14ac:dyDescent="0.45">
      <c r="A74">
        <v>73</v>
      </c>
      <c r="B74" s="2" t="s">
        <v>9</v>
      </c>
      <c r="C74" s="2">
        <v>21</v>
      </c>
      <c r="D74" t="s">
        <v>2</v>
      </c>
      <c r="E74" s="2" t="s">
        <v>13</v>
      </c>
      <c r="F74" s="2">
        <v>66</v>
      </c>
      <c r="G74" s="2">
        <v>66</v>
      </c>
      <c r="H74" s="2">
        <v>84</v>
      </c>
      <c r="I74" s="1">
        <v>4.4000000000000004</v>
      </c>
      <c r="J74" s="1">
        <v>5</v>
      </c>
      <c r="K74" s="1">
        <v>4.2222222222222223</v>
      </c>
      <c r="L74" s="1">
        <v>4.5</v>
      </c>
      <c r="M74" s="1">
        <f t="shared" si="2"/>
        <v>4.5305555555555559</v>
      </c>
      <c r="N74">
        <f t="shared" si="3"/>
        <v>0</v>
      </c>
      <c r="P74">
        <f t="shared" si="3"/>
        <v>0</v>
      </c>
      <c r="Q74" s="2">
        <v>66</v>
      </c>
      <c r="R74" s="2">
        <v>66</v>
      </c>
      <c r="S74" s="2">
        <v>84</v>
      </c>
      <c r="T74" s="2">
        <v>21</v>
      </c>
    </row>
    <row r="75" spans="1:20" x14ac:dyDescent="0.45">
      <c r="A75">
        <v>74</v>
      </c>
      <c r="B75" s="2" t="s">
        <v>9</v>
      </c>
      <c r="C75" s="2">
        <v>20</v>
      </c>
      <c r="D75" t="s">
        <v>2</v>
      </c>
      <c r="E75" s="2" t="s">
        <v>13</v>
      </c>
      <c r="F75" s="2">
        <v>54</v>
      </c>
      <c r="G75" s="2">
        <v>78</v>
      </c>
      <c r="H75" s="2">
        <v>81</v>
      </c>
      <c r="I75" s="1">
        <v>4</v>
      </c>
      <c r="J75" s="1">
        <v>4.75</v>
      </c>
      <c r="K75" s="1">
        <v>4.333333333333333</v>
      </c>
      <c r="L75" s="1">
        <v>5</v>
      </c>
      <c r="M75" s="1">
        <f t="shared" si="2"/>
        <v>4.520833333333333</v>
      </c>
      <c r="N75">
        <f t="shared" si="3"/>
        <v>0</v>
      </c>
      <c r="P75">
        <f t="shared" si="3"/>
        <v>0</v>
      </c>
      <c r="Q75" s="2">
        <v>54</v>
      </c>
      <c r="R75" s="2">
        <v>78</v>
      </c>
      <c r="S75" s="2">
        <v>81</v>
      </c>
      <c r="T75" s="2">
        <v>20</v>
      </c>
    </row>
    <row r="76" spans="1:20" x14ac:dyDescent="0.45">
      <c r="A76">
        <v>75</v>
      </c>
      <c r="B76" s="2" t="s">
        <v>8</v>
      </c>
      <c r="C76" s="2">
        <v>19</v>
      </c>
      <c r="D76" t="s">
        <v>4</v>
      </c>
      <c r="E76" s="2" t="s">
        <v>12</v>
      </c>
      <c r="F76" s="2">
        <v>56</v>
      </c>
      <c r="G76" s="2">
        <v>69</v>
      </c>
      <c r="H76" s="2">
        <v>79</v>
      </c>
      <c r="I76" s="1">
        <v>3.9</v>
      </c>
      <c r="J76" s="1">
        <v>2.25</v>
      </c>
      <c r="K76" s="1">
        <v>3.2222222222222223</v>
      </c>
      <c r="L76" s="1">
        <v>4</v>
      </c>
      <c r="M76" s="1">
        <f t="shared" si="2"/>
        <v>3.3430555555555559</v>
      </c>
      <c r="N76">
        <f t="shared" si="3"/>
        <v>0</v>
      </c>
      <c r="P76">
        <f t="shared" si="3"/>
        <v>0</v>
      </c>
      <c r="Q76" s="2">
        <v>56</v>
      </c>
      <c r="R76" s="2">
        <v>69</v>
      </c>
      <c r="S76" s="2">
        <v>79</v>
      </c>
      <c r="T76" s="2">
        <v>19</v>
      </c>
    </row>
    <row r="77" spans="1:20" x14ac:dyDescent="0.45">
      <c r="A77">
        <v>76</v>
      </c>
      <c r="B77" s="2" t="s">
        <v>8</v>
      </c>
      <c r="C77" s="2">
        <v>20</v>
      </c>
      <c r="D77" t="s">
        <v>6</v>
      </c>
      <c r="E77" s="2" t="s">
        <v>13</v>
      </c>
      <c r="F77" s="2">
        <v>91</v>
      </c>
      <c r="G77" s="2">
        <v>57</v>
      </c>
      <c r="H77" s="2">
        <v>60</v>
      </c>
      <c r="I77" s="1">
        <v>3.9</v>
      </c>
      <c r="J77" s="1">
        <v>3.75</v>
      </c>
      <c r="K77" s="1">
        <v>3.5555555555555554</v>
      </c>
      <c r="L77" s="1">
        <v>3.75</v>
      </c>
      <c r="M77" s="1">
        <f t="shared" si="2"/>
        <v>3.7388888888888889</v>
      </c>
      <c r="N77">
        <f t="shared" si="3"/>
        <v>0</v>
      </c>
      <c r="P77">
        <f t="shared" si="3"/>
        <v>0</v>
      </c>
      <c r="Q77" s="2">
        <v>91</v>
      </c>
      <c r="R77" s="2">
        <v>57</v>
      </c>
      <c r="S77" s="2">
        <v>60</v>
      </c>
      <c r="T77" s="2">
        <v>20</v>
      </c>
    </row>
    <row r="78" spans="1:20" x14ac:dyDescent="0.45">
      <c r="A78">
        <v>77</v>
      </c>
      <c r="B78" s="2" t="s">
        <v>8</v>
      </c>
      <c r="C78" s="2">
        <v>21</v>
      </c>
      <c r="D78" t="s">
        <v>10</v>
      </c>
      <c r="E78" s="2" t="s">
        <v>12</v>
      </c>
      <c r="F78" s="2">
        <v>55</v>
      </c>
      <c r="G78" s="2">
        <v>72</v>
      </c>
      <c r="H78" s="2">
        <v>74</v>
      </c>
      <c r="I78" s="1">
        <v>4.8</v>
      </c>
      <c r="J78" s="1">
        <v>3.75</v>
      </c>
      <c r="K78" s="1">
        <v>4.7777777777777777</v>
      </c>
      <c r="L78" s="1">
        <v>5</v>
      </c>
      <c r="M78" s="1">
        <f t="shared" si="2"/>
        <v>4.5819444444444448</v>
      </c>
      <c r="N78">
        <f t="shared" si="3"/>
        <v>0</v>
      </c>
      <c r="P78">
        <f t="shared" si="3"/>
        <v>0</v>
      </c>
      <c r="Q78" s="2">
        <v>55</v>
      </c>
      <c r="R78" s="2">
        <v>72</v>
      </c>
      <c r="S78" s="2">
        <v>74</v>
      </c>
      <c r="T78" s="2">
        <v>21</v>
      </c>
    </row>
    <row r="79" spans="1:20" x14ac:dyDescent="0.45">
      <c r="A79">
        <v>78</v>
      </c>
      <c r="B79" s="2" t="s">
        <v>9</v>
      </c>
      <c r="C79" s="2">
        <v>20</v>
      </c>
      <c r="D79" t="s">
        <v>10</v>
      </c>
      <c r="E79" s="2" t="s">
        <v>13</v>
      </c>
      <c r="F79" s="2">
        <v>37</v>
      </c>
      <c r="G79" s="2">
        <v>72</v>
      </c>
      <c r="H79" s="2">
        <v>89</v>
      </c>
      <c r="I79" s="1">
        <v>4.7</v>
      </c>
      <c r="J79" s="1">
        <v>4.75</v>
      </c>
      <c r="K79" s="1">
        <v>4.8888888888888893</v>
      </c>
      <c r="L79" s="1">
        <v>5</v>
      </c>
      <c r="M79" s="1">
        <f t="shared" si="2"/>
        <v>4.8347222222222221</v>
      </c>
      <c r="N79">
        <f t="shared" si="3"/>
        <v>0</v>
      </c>
      <c r="P79">
        <f t="shared" si="3"/>
        <v>0</v>
      </c>
      <c r="Q79" s="2">
        <v>37</v>
      </c>
      <c r="R79" s="2">
        <v>72</v>
      </c>
      <c r="S79" s="2">
        <v>89</v>
      </c>
      <c r="T79" s="2">
        <v>20</v>
      </c>
    </row>
    <row r="80" spans="1:20" x14ac:dyDescent="0.45">
      <c r="A80">
        <v>79</v>
      </c>
      <c r="B80" s="2" t="s">
        <v>8</v>
      </c>
      <c r="C80" s="2">
        <v>20</v>
      </c>
      <c r="D80" t="s">
        <v>10</v>
      </c>
      <c r="E80" s="2" t="s">
        <v>13</v>
      </c>
      <c r="F80" s="2">
        <v>82</v>
      </c>
      <c r="G80" s="2">
        <v>44</v>
      </c>
      <c r="H80" s="2">
        <v>62</v>
      </c>
      <c r="I80" s="1">
        <v>4.3</v>
      </c>
      <c r="J80" s="1">
        <v>4.5</v>
      </c>
      <c r="K80" s="1">
        <v>4.333333333333333</v>
      </c>
      <c r="L80" s="1">
        <v>4.5</v>
      </c>
      <c r="M80" s="1">
        <f t="shared" si="2"/>
        <v>4.4083333333333332</v>
      </c>
      <c r="N80">
        <f t="shared" si="3"/>
        <v>0</v>
      </c>
      <c r="P80">
        <f t="shared" si="3"/>
        <v>0</v>
      </c>
      <c r="Q80" s="2">
        <v>82</v>
      </c>
      <c r="R80" s="2">
        <v>44</v>
      </c>
      <c r="S80" s="2">
        <v>62</v>
      </c>
      <c r="T80" s="2">
        <v>20</v>
      </c>
    </row>
    <row r="81" spans="1:20" x14ac:dyDescent="0.45">
      <c r="A81">
        <v>80</v>
      </c>
      <c r="B81" s="2" t="s">
        <v>9</v>
      </c>
      <c r="C81" s="2">
        <v>21</v>
      </c>
      <c r="D81" t="s">
        <v>2</v>
      </c>
      <c r="E81" s="2" t="s">
        <v>13</v>
      </c>
      <c r="F81" s="2">
        <v>45</v>
      </c>
      <c r="G81" s="2">
        <v>66</v>
      </c>
      <c r="H81" s="2">
        <v>66</v>
      </c>
      <c r="I81" s="1">
        <v>4.3</v>
      </c>
      <c r="J81" s="1">
        <v>4.5</v>
      </c>
      <c r="K81" s="1">
        <v>4.5555555555555554</v>
      </c>
      <c r="L81" s="1">
        <v>4.25</v>
      </c>
      <c r="M81" s="1">
        <f t="shared" si="2"/>
        <v>4.4013888888888886</v>
      </c>
      <c r="N81">
        <f t="shared" si="3"/>
        <v>0</v>
      </c>
      <c r="P81">
        <f t="shared" si="3"/>
        <v>0</v>
      </c>
      <c r="Q81" s="2">
        <v>45</v>
      </c>
      <c r="R81" s="2">
        <v>66</v>
      </c>
      <c r="S81" s="2">
        <v>66</v>
      </c>
      <c r="T81" s="2">
        <v>21</v>
      </c>
    </row>
    <row r="82" spans="1:20" x14ac:dyDescent="0.45">
      <c r="A82">
        <v>81</v>
      </c>
      <c r="B82" s="2" t="s">
        <v>9</v>
      </c>
      <c r="C82" s="2">
        <v>21</v>
      </c>
      <c r="D82" t="s">
        <v>4</v>
      </c>
      <c r="E82" s="2" t="s">
        <v>12</v>
      </c>
      <c r="F82" s="2">
        <v>68</v>
      </c>
      <c r="G82" s="2">
        <v>65</v>
      </c>
      <c r="H82" s="2">
        <v>65</v>
      </c>
      <c r="I82" s="1">
        <v>3.3</v>
      </c>
      <c r="J82" s="1">
        <v>2.75</v>
      </c>
      <c r="K82" s="1">
        <v>3.4444444444444446</v>
      </c>
      <c r="L82" s="1">
        <v>4</v>
      </c>
      <c r="M82" s="1">
        <f t="shared" si="2"/>
        <v>3.3736111111111109</v>
      </c>
      <c r="N82">
        <f t="shared" si="3"/>
        <v>0</v>
      </c>
      <c r="P82">
        <f t="shared" si="3"/>
        <v>0</v>
      </c>
      <c r="Q82" s="2">
        <v>68</v>
      </c>
      <c r="R82" s="2">
        <v>65</v>
      </c>
      <c r="S82" s="2">
        <v>65</v>
      </c>
      <c r="T82" s="2">
        <v>21</v>
      </c>
    </row>
    <row r="83" spans="1:20" x14ac:dyDescent="0.45">
      <c r="A83">
        <v>82</v>
      </c>
      <c r="B83" s="2" t="s">
        <v>8</v>
      </c>
      <c r="C83" s="2">
        <v>20</v>
      </c>
      <c r="D83" t="s">
        <v>2</v>
      </c>
      <c r="E83" s="2" t="s">
        <v>13</v>
      </c>
      <c r="F83" s="2">
        <v>69</v>
      </c>
      <c r="G83" s="2">
        <v>78</v>
      </c>
      <c r="H83" s="2">
        <v>67</v>
      </c>
      <c r="I83" s="1">
        <v>4.5</v>
      </c>
      <c r="J83" s="1">
        <v>4.5</v>
      </c>
      <c r="K83" s="1">
        <v>4.1111111111111107</v>
      </c>
      <c r="L83" s="1">
        <v>5</v>
      </c>
      <c r="M83" s="1">
        <f t="shared" si="2"/>
        <v>4.5277777777777777</v>
      </c>
      <c r="N83">
        <f t="shared" si="3"/>
        <v>0</v>
      </c>
      <c r="P83">
        <f t="shared" si="3"/>
        <v>0</v>
      </c>
      <c r="Q83" s="2">
        <v>69</v>
      </c>
      <c r="R83" s="2">
        <v>78</v>
      </c>
      <c r="S83" s="2">
        <v>67</v>
      </c>
      <c r="T83" s="2">
        <v>20</v>
      </c>
    </row>
    <row r="84" spans="1:20" x14ac:dyDescent="0.45">
      <c r="A84">
        <v>83</v>
      </c>
      <c r="B84" s="2" t="s">
        <v>9</v>
      </c>
      <c r="C84" s="2">
        <v>18</v>
      </c>
      <c r="D84" t="s">
        <v>2</v>
      </c>
      <c r="E84" s="2" t="s">
        <v>13</v>
      </c>
      <c r="F84" s="2">
        <v>65</v>
      </c>
      <c r="G84" s="2">
        <v>43</v>
      </c>
      <c r="H84" s="2">
        <v>72</v>
      </c>
      <c r="I84" s="1">
        <v>4.3</v>
      </c>
      <c r="J84" s="1">
        <v>4.25</v>
      </c>
      <c r="K84" s="1">
        <v>4.5555555555555554</v>
      </c>
      <c r="L84" s="1">
        <v>4</v>
      </c>
      <c r="M84" s="1">
        <f t="shared" si="2"/>
        <v>4.2763888888888886</v>
      </c>
      <c r="N84">
        <f t="shared" si="3"/>
        <v>0</v>
      </c>
      <c r="P84">
        <f t="shared" si="3"/>
        <v>0</v>
      </c>
      <c r="Q84" s="2">
        <v>65</v>
      </c>
      <c r="R84" s="2">
        <v>43</v>
      </c>
      <c r="S84" s="2">
        <v>72</v>
      </c>
      <c r="T84" s="2">
        <v>18</v>
      </c>
    </row>
    <row r="85" spans="1:20" x14ac:dyDescent="0.45">
      <c r="A85">
        <v>84</v>
      </c>
      <c r="B85" s="2" t="s">
        <v>8</v>
      </c>
      <c r="C85" s="2">
        <v>19</v>
      </c>
      <c r="D85" t="s">
        <v>3</v>
      </c>
      <c r="E85" s="2" t="s">
        <v>13</v>
      </c>
      <c r="F85" s="2">
        <v>63</v>
      </c>
      <c r="G85" s="2">
        <v>75</v>
      </c>
      <c r="H85" s="2">
        <v>47</v>
      </c>
      <c r="I85" s="1">
        <v>4.3</v>
      </c>
      <c r="J85" s="1">
        <v>4.5</v>
      </c>
      <c r="K85" s="1">
        <v>4.1111111111111107</v>
      </c>
      <c r="L85" s="1">
        <v>4.5</v>
      </c>
      <c r="M85" s="1">
        <f t="shared" si="2"/>
        <v>4.3527777777777779</v>
      </c>
      <c r="N85">
        <f t="shared" si="3"/>
        <v>0</v>
      </c>
      <c r="P85">
        <f t="shared" si="3"/>
        <v>0</v>
      </c>
      <c r="Q85" s="2">
        <v>63</v>
      </c>
      <c r="R85" s="2">
        <v>75</v>
      </c>
      <c r="S85" s="2">
        <v>47</v>
      </c>
      <c r="T85" s="2">
        <v>19</v>
      </c>
    </row>
    <row r="86" spans="1:20" x14ac:dyDescent="0.45">
      <c r="A86">
        <v>85</v>
      </c>
      <c r="B86" s="2" t="s">
        <v>8</v>
      </c>
      <c r="C86" s="2">
        <v>21</v>
      </c>
      <c r="D86" t="s">
        <v>2</v>
      </c>
      <c r="E86" s="2" t="s">
        <v>12</v>
      </c>
      <c r="F86" s="2">
        <v>93</v>
      </c>
      <c r="G86" s="2">
        <v>58</v>
      </c>
      <c r="H86" s="2">
        <v>59</v>
      </c>
      <c r="I86" s="1">
        <v>3.8</v>
      </c>
      <c r="J86" s="1">
        <v>3</v>
      </c>
      <c r="K86" s="1">
        <v>3.5555555555555554</v>
      </c>
      <c r="L86" s="1">
        <v>3.5</v>
      </c>
      <c r="M86" s="1">
        <f t="shared" si="2"/>
        <v>3.4638888888888886</v>
      </c>
      <c r="N86">
        <f t="shared" si="3"/>
        <v>0</v>
      </c>
      <c r="P86">
        <f t="shared" si="3"/>
        <v>0</v>
      </c>
      <c r="Q86" s="2">
        <v>93</v>
      </c>
      <c r="R86" s="2">
        <v>58</v>
      </c>
      <c r="S86" s="2">
        <v>59</v>
      </c>
      <c r="T86" s="2">
        <v>21</v>
      </c>
    </row>
    <row r="87" spans="1:20" x14ac:dyDescent="0.45">
      <c r="A87">
        <v>86</v>
      </c>
      <c r="B87" s="2" t="s">
        <v>9</v>
      </c>
      <c r="C87" s="2">
        <v>19</v>
      </c>
      <c r="D87" t="s">
        <v>2</v>
      </c>
      <c r="E87" s="2" t="s">
        <v>12</v>
      </c>
      <c r="F87" s="2">
        <v>95</v>
      </c>
      <c r="G87" s="2">
        <v>51</v>
      </c>
      <c r="H87" s="2">
        <v>68</v>
      </c>
      <c r="I87" s="1">
        <v>4.5</v>
      </c>
      <c r="J87" s="1">
        <v>3.5</v>
      </c>
      <c r="K87" s="1">
        <v>4.1111111111111107</v>
      </c>
      <c r="L87" s="1">
        <v>3.5</v>
      </c>
      <c r="M87" s="1">
        <f t="shared" si="2"/>
        <v>3.9027777777777777</v>
      </c>
      <c r="N87">
        <f t="shared" si="3"/>
        <v>0</v>
      </c>
      <c r="P87">
        <f t="shared" si="3"/>
        <v>0</v>
      </c>
      <c r="Q87" s="2">
        <v>95</v>
      </c>
      <c r="R87" s="2">
        <v>51</v>
      </c>
      <c r="S87" s="2">
        <v>68</v>
      </c>
      <c r="T87" s="2">
        <v>19</v>
      </c>
    </row>
    <row r="88" spans="1:20" x14ac:dyDescent="0.45">
      <c r="A88">
        <v>87</v>
      </c>
      <c r="B88" s="2" t="s">
        <v>9</v>
      </c>
      <c r="C88" s="2">
        <v>20</v>
      </c>
      <c r="D88" t="s">
        <v>10</v>
      </c>
      <c r="E88" s="2" t="s">
        <v>12</v>
      </c>
      <c r="F88" s="2">
        <v>92</v>
      </c>
      <c r="G88" s="2">
        <v>55</v>
      </c>
      <c r="H88" s="2">
        <v>69</v>
      </c>
      <c r="I88" s="1">
        <v>4.8</v>
      </c>
      <c r="J88" s="1">
        <v>4.75</v>
      </c>
      <c r="K88" s="1">
        <v>5</v>
      </c>
      <c r="L88" s="1">
        <v>4.75</v>
      </c>
      <c r="M88" s="1">
        <f t="shared" si="2"/>
        <v>4.8250000000000002</v>
      </c>
      <c r="N88">
        <f t="shared" si="3"/>
        <v>0</v>
      </c>
      <c r="P88">
        <f t="shared" si="3"/>
        <v>0</v>
      </c>
      <c r="Q88" s="2">
        <v>92</v>
      </c>
      <c r="R88" s="2">
        <v>55</v>
      </c>
      <c r="S88" s="2">
        <v>69</v>
      </c>
      <c r="T88" s="2">
        <v>20</v>
      </c>
    </row>
    <row r="89" spans="1:20" x14ac:dyDescent="0.45">
      <c r="A89">
        <v>88</v>
      </c>
      <c r="B89" s="2" t="s">
        <v>8</v>
      </c>
      <c r="C89" s="2">
        <v>20</v>
      </c>
      <c r="D89" t="s">
        <v>2</v>
      </c>
      <c r="E89" s="2" t="s">
        <v>13</v>
      </c>
      <c r="F89" s="2">
        <v>53</v>
      </c>
      <c r="G89" s="2">
        <v>71</v>
      </c>
      <c r="H89" s="2">
        <v>78</v>
      </c>
      <c r="I89" s="1">
        <v>3.8</v>
      </c>
      <c r="J89" s="1">
        <v>4.75</v>
      </c>
      <c r="K89" s="1">
        <v>4.1111111111111107</v>
      </c>
      <c r="L89" s="1">
        <v>5</v>
      </c>
      <c r="M89" s="1">
        <f t="shared" si="2"/>
        <v>4.4152777777777779</v>
      </c>
      <c r="N89">
        <f t="shared" si="3"/>
        <v>0</v>
      </c>
      <c r="P89">
        <f t="shared" si="3"/>
        <v>0</v>
      </c>
      <c r="Q89" s="2">
        <v>53</v>
      </c>
      <c r="R89" s="2">
        <v>71</v>
      </c>
      <c r="S89" s="2">
        <v>78</v>
      </c>
      <c r="T89" s="2">
        <v>20</v>
      </c>
    </row>
    <row r="90" spans="1:20" x14ac:dyDescent="0.45">
      <c r="A90">
        <v>89</v>
      </c>
      <c r="B90" s="2" t="s">
        <v>9</v>
      </c>
      <c r="C90" s="2">
        <v>20</v>
      </c>
      <c r="D90" t="s">
        <v>3</v>
      </c>
      <c r="E90" s="2" t="s">
        <v>12</v>
      </c>
      <c r="F90" s="2">
        <v>66</v>
      </c>
      <c r="G90" s="2">
        <v>55</v>
      </c>
      <c r="H90" s="2">
        <v>54</v>
      </c>
      <c r="I90" s="1">
        <v>3.4</v>
      </c>
      <c r="J90" s="1">
        <v>3.75</v>
      </c>
      <c r="K90" s="1">
        <v>3.5555555555555554</v>
      </c>
      <c r="L90" s="1">
        <v>2.75</v>
      </c>
      <c r="M90" s="1">
        <f t="shared" si="2"/>
        <v>3.3638888888888889</v>
      </c>
      <c r="N90">
        <f t="shared" si="3"/>
        <v>0</v>
      </c>
      <c r="P90">
        <f t="shared" si="3"/>
        <v>0</v>
      </c>
      <c r="Q90" s="2">
        <v>66</v>
      </c>
      <c r="R90" s="2">
        <v>55</v>
      </c>
      <c r="S90" s="2">
        <v>54</v>
      </c>
      <c r="T90" s="2">
        <v>20</v>
      </c>
    </row>
    <row r="91" spans="1:20" x14ac:dyDescent="0.45">
      <c r="A91">
        <v>90</v>
      </c>
      <c r="B91" s="2" t="s">
        <v>9</v>
      </c>
      <c r="C91" s="2">
        <v>19</v>
      </c>
      <c r="D91" t="s">
        <v>3</v>
      </c>
      <c r="E91" s="2" t="s">
        <v>12</v>
      </c>
      <c r="F91" s="2">
        <v>68</v>
      </c>
      <c r="G91" s="2">
        <v>74</v>
      </c>
      <c r="H91" s="2">
        <v>58</v>
      </c>
      <c r="I91" s="1">
        <v>3</v>
      </c>
      <c r="J91" s="1">
        <v>3.5</v>
      </c>
      <c r="K91" s="1">
        <v>3.8888888888888888</v>
      </c>
      <c r="L91" s="1">
        <v>3.75</v>
      </c>
      <c r="M91" s="1">
        <f t="shared" si="2"/>
        <v>3.5347222222222223</v>
      </c>
      <c r="N91">
        <f t="shared" si="3"/>
        <v>0</v>
      </c>
      <c r="P91">
        <f t="shared" si="3"/>
        <v>0</v>
      </c>
      <c r="Q91" s="2">
        <v>68</v>
      </c>
      <c r="R91" s="2">
        <v>74</v>
      </c>
      <c r="S91" s="2">
        <v>58</v>
      </c>
      <c r="T91" s="2">
        <v>19</v>
      </c>
    </row>
    <row r="92" spans="1:20" x14ac:dyDescent="0.45">
      <c r="A92">
        <v>91</v>
      </c>
      <c r="B92" s="2" t="s">
        <v>8</v>
      </c>
      <c r="C92" s="2">
        <v>20</v>
      </c>
      <c r="D92" t="s">
        <v>4</v>
      </c>
      <c r="E92" s="2" t="s">
        <v>12</v>
      </c>
      <c r="F92" s="2">
        <v>70</v>
      </c>
      <c r="G92" s="2">
        <v>41</v>
      </c>
      <c r="H92" s="2">
        <v>64</v>
      </c>
      <c r="I92" s="1">
        <v>3.9</v>
      </c>
      <c r="J92" s="1">
        <v>3.5</v>
      </c>
      <c r="K92" s="1">
        <v>3.7777777777777777</v>
      </c>
      <c r="L92" s="1">
        <v>3.75</v>
      </c>
      <c r="M92" s="1">
        <f t="shared" si="2"/>
        <v>3.7319444444444443</v>
      </c>
      <c r="N92">
        <f t="shared" si="3"/>
        <v>0</v>
      </c>
      <c r="P92">
        <f t="shared" si="3"/>
        <v>0</v>
      </c>
      <c r="Q92" s="2">
        <v>70</v>
      </c>
      <c r="R92" s="2">
        <v>41</v>
      </c>
      <c r="S92" s="2">
        <v>64</v>
      </c>
      <c r="T92" s="2">
        <v>20</v>
      </c>
    </row>
    <row r="93" spans="1:20" x14ac:dyDescent="0.45">
      <c r="A93">
        <v>92</v>
      </c>
      <c r="B93" s="2" t="s">
        <v>8</v>
      </c>
      <c r="C93" s="2">
        <v>21</v>
      </c>
      <c r="D93" t="s">
        <v>10</v>
      </c>
      <c r="E93" s="2" t="s">
        <v>12</v>
      </c>
      <c r="F93" s="2">
        <v>65</v>
      </c>
      <c r="G93" s="2">
        <v>42</v>
      </c>
      <c r="H93" s="2">
        <v>65</v>
      </c>
      <c r="I93" s="1">
        <v>2.9</v>
      </c>
      <c r="J93" s="1">
        <v>2.5</v>
      </c>
      <c r="K93" s="1">
        <v>3.6666666666666665</v>
      </c>
      <c r="L93" s="1">
        <v>3.75</v>
      </c>
      <c r="M93" s="1">
        <f t="shared" si="2"/>
        <v>3.2041666666666666</v>
      </c>
      <c r="N93">
        <f t="shared" si="3"/>
        <v>0</v>
      </c>
      <c r="P93">
        <f t="shared" si="3"/>
        <v>0</v>
      </c>
      <c r="Q93" s="2">
        <v>65</v>
      </c>
      <c r="R93" s="2">
        <v>42</v>
      </c>
      <c r="S93" s="2">
        <v>65</v>
      </c>
      <c r="T93" s="2">
        <v>21</v>
      </c>
    </row>
    <row r="94" spans="1:20" x14ac:dyDescent="0.45">
      <c r="A94">
        <v>93</v>
      </c>
      <c r="B94" s="2" t="s">
        <v>8</v>
      </c>
      <c r="C94" s="2">
        <v>19</v>
      </c>
      <c r="D94" t="s">
        <v>4</v>
      </c>
      <c r="E94" s="2" t="s">
        <v>12</v>
      </c>
      <c r="F94" s="2">
        <v>48</v>
      </c>
      <c r="G94" s="2">
        <v>74</v>
      </c>
      <c r="H94" s="2">
        <v>58</v>
      </c>
      <c r="I94" s="1">
        <v>4</v>
      </c>
      <c r="J94" s="1">
        <v>4</v>
      </c>
      <c r="K94" s="1">
        <v>3.6666666666666665</v>
      </c>
      <c r="L94" s="1">
        <v>4</v>
      </c>
      <c r="M94" s="1">
        <f t="shared" si="2"/>
        <v>3.9166666666666665</v>
      </c>
      <c r="N94">
        <f t="shared" si="3"/>
        <v>0</v>
      </c>
      <c r="P94">
        <f t="shared" si="3"/>
        <v>0</v>
      </c>
      <c r="Q94" s="2">
        <v>48</v>
      </c>
      <c r="R94" s="2">
        <v>74</v>
      </c>
      <c r="S94" s="2">
        <v>58</v>
      </c>
      <c r="T94" s="2">
        <v>19</v>
      </c>
    </row>
    <row r="95" spans="1:20" x14ac:dyDescent="0.45">
      <c r="A95">
        <v>94</v>
      </c>
      <c r="B95" s="2" t="s">
        <v>9</v>
      </c>
      <c r="C95" s="2">
        <v>20</v>
      </c>
      <c r="D95" t="s">
        <v>10</v>
      </c>
      <c r="E95" s="2" t="s">
        <v>12</v>
      </c>
      <c r="F95" s="2">
        <v>71</v>
      </c>
      <c r="G95" s="2">
        <v>69</v>
      </c>
      <c r="H95" s="2">
        <v>71</v>
      </c>
      <c r="I95" s="1">
        <v>3.9</v>
      </c>
      <c r="J95" s="1">
        <v>4.5</v>
      </c>
      <c r="K95" s="1">
        <v>3.6666666666666665</v>
      </c>
      <c r="L95" s="1">
        <v>4.25</v>
      </c>
      <c r="M95" s="1">
        <f t="shared" si="2"/>
        <v>4.0791666666666666</v>
      </c>
      <c r="N95">
        <f t="shared" si="3"/>
        <v>0</v>
      </c>
      <c r="P95">
        <f t="shared" si="3"/>
        <v>0</v>
      </c>
      <c r="Q95" s="2">
        <v>71</v>
      </c>
      <c r="R95" s="2">
        <v>69</v>
      </c>
      <c r="S95" s="2">
        <v>71</v>
      </c>
      <c r="T95" s="2">
        <v>20</v>
      </c>
    </row>
    <row r="96" spans="1:20" x14ac:dyDescent="0.45">
      <c r="A96">
        <v>95</v>
      </c>
      <c r="B96" s="2" t="s">
        <v>9</v>
      </c>
      <c r="C96" s="2">
        <v>21</v>
      </c>
      <c r="D96" t="s">
        <v>10</v>
      </c>
      <c r="E96" s="2" t="s">
        <v>12</v>
      </c>
      <c r="F96" s="2">
        <v>67</v>
      </c>
      <c r="G96" s="2">
        <v>57</v>
      </c>
      <c r="H96" s="2">
        <v>90</v>
      </c>
      <c r="I96" s="1">
        <v>3.5</v>
      </c>
      <c r="J96" s="1">
        <v>4</v>
      </c>
      <c r="K96" s="1">
        <v>3.8888888888888888</v>
      </c>
      <c r="L96" s="1">
        <v>4.5</v>
      </c>
      <c r="M96" s="1">
        <f t="shared" si="2"/>
        <v>3.9722222222222223</v>
      </c>
      <c r="N96">
        <f t="shared" si="3"/>
        <v>0</v>
      </c>
      <c r="P96">
        <f t="shared" si="3"/>
        <v>0</v>
      </c>
      <c r="Q96" s="2">
        <v>67</v>
      </c>
      <c r="R96" s="2">
        <v>57</v>
      </c>
      <c r="S96" s="2">
        <v>90</v>
      </c>
      <c r="T96" s="2">
        <v>21</v>
      </c>
    </row>
    <row r="97" spans="1:20" x14ac:dyDescent="0.45">
      <c r="A97">
        <v>96</v>
      </c>
      <c r="B97" s="2" t="s">
        <v>9</v>
      </c>
      <c r="C97" s="2">
        <v>20</v>
      </c>
      <c r="D97" t="s">
        <v>10</v>
      </c>
      <c r="E97" s="2" t="s">
        <v>13</v>
      </c>
      <c r="F97" s="2">
        <v>65</v>
      </c>
      <c r="G97" s="2">
        <v>48</v>
      </c>
      <c r="H97" s="2">
        <v>58</v>
      </c>
      <c r="I97" s="1">
        <v>3.7</v>
      </c>
      <c r="J97" s="1">
        <v>4</v>
      </c>
      <c r="K97" s="1">
        <v>4</v>
      </c>
      <c r="L97" s="1">
        <v>4.25</v>
      </c>
      <c r="M97" s="1">
        <f t="shared" si="2"/>
        <v>3.9874999999999998</v>
      </c>
      <c r="N97">
        <f t="shared" si="3"/>
        <v>0</v>
      </c>
      <c r="P97">
        <f t="shared" si="3"/>
        <v>0</v>
      </c>
      <c r="Q97" s="2">
        <v>65</v>
      </c>
      <c r="R97" s="2">
        <v>48</v>
      </c>
      <c r="S97" s="2">
        <v>58</v>
      </c>
      <c r="T97" s="2">
        <v>20</v>
      </c>
    </row>
    <row r="98" spans="1:20" x14ac:dyDescent="0.45">
      <c r="A98">
        <v>97</v>
      </c>
      <c r="B98" s="2" t="s">
        <v>8</v>
      </c>
      <c r="C98" s="2">
        <v>20</v>
      </c>
      <c r="D98" t="s">
        <v>2</v>
      </c>
      <c r="E98" s="2" t="s">
        <v>12</v>
      </c>
      <c r="F98" s="2">
        <v>76</v>
      </c>
      <c r="G98" s="2">
        <v>44</v>
      </c>
      <c r="H98" s="2">
        <v>81</v>
      </c>
      <c r="I98" s="1">
        <v>4.2</v>
      </c>
      <c r="J98" s="1">
        <v>4.25</v>
      </c>
      <c r="K98" s="1">
        <v>4.2222222222222223</v>
      </c>
      <c r="L98" s="1">
        <v>4.75</v>
      </c>
      <c r="M98" s="1">
        <f t="shared" si="2"/>
        <v>4.3555555555555552</v>
      </c>
      <c r="N98">
        <f t="shared" si="3"/>
        <v>0</v>
      </c>
      <c r="P98">
        <f t="shared" si="3"/>
        <v>0</v>
      </c>
      <c r="Q98" s="2">
        <v>76</v>
      </c>
      <c r="R98" s="2">
        <v>44</v>
      </c>
      <c r="S98" s="2">
        <v>81</v>
      </c>
      <c r="T98" s="2">
        <v>20</v>
      </c>
    </row>
    <row r="99" spans="1:20" x14ac:dyDescent="0.45">
      <c r="A99">
        <v>98</v>
      </c>
      <c r="B99" s="2" t="s">
        <v>8</v>
      </c>
      <c r="C99" s="2">
        <v>20</v>
      </c>
      <c r="D99" t="s">
        <v>10</v>
      </c>
      <c r="E99" s="2" t="s">
        <v>13</v>
      </c>
      <c r="F99" s="2">
        <v>70</v>
      </c>
      <c r="G99" s="2">
        <v>83</v>
      </c>
      <c r="H99" s="2">
        <v>65</v>
      </c>
      <c r="I99" s="1">
        <v>3.8</v>
      </c>
      <c r="J99" s="1">
        <v>3.5</v>
      </c>
      <c r="K99" s="1">
        <v>3.7777777777777777</v>
      </c>
      <c r="L99" s="1">
        <v>4</v>
      </c>
      <c r="M99" s="1">
        <f t="shared" si="2"/>
        <v>3.7694444444444444</v>
      </c>
      <c r="N99">
        <f t="shared" si="3"/>
        <v>0</v>
      </c>
      <c r="P99">
        <f t="shared" si="3"/>
        <v>0</v>
      </c>
      <c r="Q99" s="2">
        <v>70</v>
      </c>
      <c r="R99" s="2">
        <v>83</v>
      </c>
      <c r="S99" s="2">
        <v>65</v>
      </c>
      <c r="T99" s="2">
        <v>20</v>
      </c>
    </row>
    <row r="100" spans="1:20" x14ac:dyDescent="0.45">
      <c r="A100">
        <v>99</v>
      </c>
      <c r="B100" s="2" t="s">
        <v>8</v>
      </c>
      <c r="C100" s="2">
        <v>20</v>
      </c>
      <c r="D100" t="s">
        <v>10</v>
      </c>
      <c r="E100" s="2" t="s">
        <v>13</v>
      </c>
      <c r="F100" s="2">
        <v>59</v>
      </c>
      <c r="G100" s="2">
        <v>64</v>
      </c>
      <c r="H100" s="2">
        <v>39</v>
      </c>
      <c r="I100" s="1">
        <v>3.2</v>
      </c>
      <c r="J100" s="1">
        <v>3.25</v>
      </c>
      <c r="K100" s="1">
        <v>2.7777777777777777</v>
      </c>
      <c r="L100" s="1">
        <v>4</v>
      </c>
      <c r="M100" s="1">
        <f t="shared" si="2"/>
        <v>3.3069444444444445</v>
      </c>
      <c r="N100">
        <f t="shared" si="3"/>
        <v>0</v>
      </c>
      <c r="P100">
        <f t="shared" si="3"/>
        <v>0</v>
      </c>
      <c r="Q100" s="2">
        <v>59</v>
      </c>
      <c r="R100" s="2">
        <v>64</v>
      </c>
      <c r="S100" s="2">
        <v>39</v>
      </c>
      <c r="T100" s="2">
        <v>20</v>
      </c>
    </row>
    <row r="101" spans="1:20" x14ac:dyDescent="0.45">
      <c r="A101">
        <v>100</v>
      </c>
      <c r="B101" s="2" t="s">
        <v>9</v>
      </c>
      <c r="C101" s="2">
        <v>19</v>
      </c>
      <c r="D101" t="s">
        <v>2</v>
      </c>
      <c r="E101" s="2" t="s">
        <v>13</v>
      </c>
      <c r="F101" s="2">
        <v>43</v>
      </c>
      <c r="G101" s="2">
        <v>35</v>
      </c>
      <c r="H101" s="2">
        <v>48</v>
      </c>
      <c r="I101" s="1">
        <v>3.7</v>
      </c>
      <c r="J101" s="1">
        <v>2.75</v>
      </c>
      <c r="K101" s="1">
        <v>3.5555555555555554</v>
      </c>
      <c r="L101" s="1">
        <v>4</v>
      </c>
      <c r="M101" s="1">
        <f t="shared" si="2"/>
        <v>3.5013888888888891</v>
      </c>
      <c r="N101">
        <f t="shared" si="3"/>
        <v>0</v>
      </c>
      <c r="P101">
        <f t="shared" si="3"/>
        <v>0</v>
      </c>
      <c r="Q101" s="2">
        <v>43</v>
      </c>
      <c r="R101" s="2">
        <v>35</v>
      </c>
      <c r="S101" s="2">
        <v>48</v>
      </c>
      <c r="T101" s="2">
        <v>19</v>
      </c>
    </row>
    <row r="102" spans="1:20" x14ac:dyDescent="0.45">
      <c r="A102">
        <v>101</v>
      </c>
      <c r="B102" s="2" t="s">
        <v>9</v>
      </c>
      <c r="C102" s="2">
        <v>19</v>
      </c>
      <c r="D102" t="s">
        <v>10</v>
      </c>
      <c r="E102" s="2" t="s">
        <v>13</v>
      </c>
      <c r="F102" s="2">
        <v>68</v>
      </c>
      <c r="G102" s="2">
        <v>56</v>
      </c>
      <c r="H102" s="2">
        <v>56</v>
      </c>
      <c r="I102" s="1">
        <v>4.5</v>
      </c>
      <c r="J102" s="1">
        <v>3.75</v>
      </c>
      <c r="K102" s="1">
        <v>3.8888888888888888</v>
      </c>
      <c r="L102" s="1">
        <v>4.5</v>
      </c>
      <c r="M102" s="1">
        <f t="shared" si="2"/>
        <v>4.1597222222222223</v>
      </c>
      <c r="N102">
        <f t="shared" si="3"/>
        <v>0</v>
      </c>
      <c r="P102">
        <f t="shared" si="3"/>
        <v>0</v>
      </c>
      <c r="Q102" s="2">
        <v>68</v>
      </c>
      <c r="R102" s="2">
        <v>56</v>
      </c>
      <c r="S102" s="2">
        <v>56</v>
      </c>
      <c r="T102" s="2">
        <v>19</v>
      </c>
    </row>
    <row r="103" spans="1:20" x14ac:dyDescent="0.45">
      <c r="A103">
        <v>102</v>
      </c>
      <c r="B103" s="2" t="s">
        <v>8</v>
      </c>
      <c r="C103" s="2">
        <v>19</v>
      </c>
      <c r="D103" t="s">
        <v>3</v>
      </c>
      <c r="E103" s="2" t="s">
        <v>12</v>
      </c>
      <c r="F103" s="2">
        <v>73</v>
      </c>
      <c r="G103" s="2">
        <v>50</v>
      </c>
      <c r="H103" s="2">
        <v>53</v>
      </c>
      <c r="I103" s="1">
        <v>3.7</v>
      </c>
      <c r="J103" s="1">
        <v>4.5</v>
      </c>
      <c r="K103" s="1">
        <v>4.1111111111111107</v>
      </c>
      <c r="L103" s="1">
        <v>5</v>
      </c>
      <c r="M103" s="1">
        <f t="shared" si="2"/>
        <v>4.3277777777777775</v>
      </c>
      <c r="N103">
        <f t="shared" si="3"/>
        <v>0</v>
      </c>
      <c r="P103">
        <f t="shared" si="3"/>
        <v>0</v>
      </c>
      <c r="Q103" s="2">
        <v>73</v>
      </c>
      <c r="R103" s="2">
        <v>50</v>
      </c>
      <c r="S103" s="2">
        <v>53</v>
      </c>
      <c r="T103" s="2">
        <v>19</v>
      </c>
    </row>
    <row r="104" spans="1:20" x14ac:dyDescent="0.45">
      <c r="A104">
        <v>103</v>
      </c>
      <c r="B104" s="2" t="s">
        <v>8</v>
      </c>
      <c r="C104" s="2">
        <v>19</v>
      </c>
      <c r="D104" t="s">
        <v>4</v>
      </c>
      <c r="E104" s="2" t="s">
        <v>13</v>
      </c>
      <c r="F104" s="2">
        <v>71</v>
      </c>
      <c r="G104" s="2">
        <v>69</v>
      </c>
      <c r="H104" s="2">
        <v>85</v>
      </c>
      <c r="I104" s="1">
        <v>3.8</v>
      </c>
      <c r="J104" s="1">
        <v>4.5</v>
      </c>
      <c r="K104" s="1">
        <v>4.333333333333333</v>
      </c>
      <c r="L104" s="1">
        <v>4.75</v>
      </c>
      <c r="M104" s="1">
        <f t="shared" si="2"/>
        <v>4.3458333333333332</v>
      </c>
      <c r="N104">
        <f t="shared" si="3"/>
        <v>0</v>
      </c>
      <c r="P104">
        <f t="shared" si="3"/>
        <v>0</v>
      </c>
      <c r="Q104" s="2">
        <v>71</v>
      </c>
      <c r="R104" s="2">
        <v>69</v>
      </c>
      <c r="S104" s="2">
        <v>85</v>
      </c>
      <c r="T104" s="2">
        <v>19</v>
      </c>
    </row>
    <row r="105" spans="1:20" x14ac:dyDescent="0.45">
      <c r="A105">
        <v>104</v>
      </c>
      <c r="B105" s="2" t="s">
        <v>8</v>
      </c>
      <c r="C105" s="2">
        <v>20</v>
      </c>
      <c r="D105" t="s">
        <v>2</v>
      </c>
      <c r="E105" s="2" t="s">
        <v>13</v>
      </c>
      <c r="F105" s="2">
        <v>52</v>
      </c>
      <c r="G105" s="2">
        <v>62</v>
      </c>
      <c r="H105" s="2">
        <v>70</v>
      </c>
      <c r="I105" s="1">
        <v>3.7</v>
      </c>
      <c r="J105" s="1">
        <v>4.5</v>
      </c>
      <c r="K105" s="1">
        <v>3.6666666666666665</v>
      </c>
      <c r="L105" s="1">
        <v>3.75</v>
      </c>
      <c r="M105" s="1">
        <f t="shared" si="2"/>
        <v>3.9041666666666663</v>
      </c>
      <c r="N105">
        <f t="shared" si="3"/>
        <v>0</v>
      </c>
      <c r="P105">
        <f t="shared" si="3"/>
        <v>0</v>
      </c>
      <c r="Q105" s="2">
        <v>52</v>
      </c>
      <c r="R105" s="2">
        <v>62</v>
      </c>
      <c r="S105" s="2">
        <v>70</v>
      </c>
      <c r="T105" s="2">
        <v>20</v>
      </c>
    </row>
    <row r="106" spans="1:20" x14ac:dyDescent="0.45">
      <c r="A106">
        <v>105</v>
      </c>
      <c r="B106" s="2" t="s">
        <v>8</v>
      </c>
      <c r="C106" s="2">
        <v>18</v>
      </c>
      <c r="D106" t="s">
        <v>4</v>
      </c>
      <c r="E106" s="2" t="s">
        <v>12</v>
      </c>
      <c r="F106" s="2">
        <v>68</v>
      </c>
      <c r="G106" s="2">
        <v>45</v>
      </c>
      <c r="H106" s="2">
        <v>73</v>
      </c>
      <c r="I106" s="1">
        <v>3.3</v>
      </c>
      <c r="J106" s="1">
        <v>3.5</v>
      </c>
      <c r="K106" s="1">
        <v>2.5555555555555554</v>
      </c>
      <c r="L106" s="1">
        <v>5</v>
      </c>
      <c r="M106" s="1">
        <f t="shared" si="2"/>
        <v>3.5888888888888886</v>
      </c>
      <c r="N106">
        <f t="shared" si="3"/>
        <v>0</v>
      </c>
      <c r="P106">
        <f t="shared" si="3"/>
        <v>0</v>
      </c>
      <c r="Q106" s="2">
        <v>68</v>
      </c>
      <c r="R106" s="2">
        <v>45</v>
      </c>
      <c r="S106" s="2">
        <v>73</v>
      </c>
      <c r="T106" s="2">
        <v>18</v>
      </c>
    </row>
    <row r="107" spans="1:20" x14ac:dyDescent="0.45">
      <c r="A107">
        <v>106</v>
      </c>
      <c r="B107" s="2" t="s">
        <v>8</v>
      </c>
      <c r="C107" s="2">
        <v>21</v>
      </c>
      <c r="D107" t="s">
        <v>4</v>
      </c>
      <c r="E107" s="2" t="s">
        <v>12</v>
      </c>
      <c r="F107" s="2">
        <v>95</v>
      </c>
      <c r="G107" s="2">
        <v>35</v>
      </c>
      <c r="H107" s="2">
        <v>50</v>
      </c>
      <c r="I107" s="1">
        <v>3.9</v>
      </c>
      <c r="J107" s="1">
        <v>3.25</v>
      </c>
      <c r="K107" s="1">
        <v>4.1111111111111107</v>
      </c>
      <c r="L107" s="1">
        <v>4.75</v>
      </c>
      <c r="M107" s="1">
        <f t="shared" si="2"/>
        <v>4.0027777777777782</v>
      </c>
      <c r="N107">
        <f t="shared" si="3"/>
        <v>0</v>
      </c>
      <c r="P107">
        <f t="shared" si="3"/>
        <v>0</v>
      </c>
      <c r="Q107" s="2">
        <v>95</v>
      </c>
      <c r="R107" s="2">
        <v>35</v>
      </c>
      <c r="S107" s="2">
        <v>50</v>
      </c>
      <c r="T107" s="2">
        <v>21</v>
      </c>
    </row>
    <row r="108" spans="1:20" x14ac:dyDescent="0.45">
      <c r="A108">
        <v>107</v>
      </c>
      <c r="B108" s="2" t="s">
        <v>8</v>
      </c>
      <c r="C108" s="2">
        <v>20</v>
      </c>
      <c r="D108" t="s">
        <v>10</v>
      </c>
      <c r="E108" s="2" t="s">
        <v>12</v>
      </c>
      <c r="F108" s="2">
        <v>56</v>
      </c>
      <c r="G108" s="2">
        <v>53</v>
      </c>
      <c r="H108" s="2">
        <v>66</v>
      </c>
      <c r="I108" s="1">
        <v>2.7</v>
      </c>
      <c r="J108" s="1">
        <v>2.25</v>
      </c>
      <c r="K108" s="1">
        <v>3.2222222222222223</v>
      </c>
      <c r="L108" s="1">
        <v>4.25</v>
      </c>
      <c r="M108" s="1">
        <f t="shared" si="2"/>
        <v>3.1055555555555556</v>
      </c>
      <c r="N108">
        <f t="shared" si="3"/>
        <v>0</v>
      </c>
      <c r="P108">
        <f t="shared" si="3"/>
        <v>0</v>
      </c>
      <c r="Q108" s="2">
        <v>56</v>
      </c>
      <c r="R108" s="2">
        <v>53</v>
      </c>
      <c r="S108" s="2">
        <v>66</v>
      </c>
      <c r="T108" s="2">
        <v>20</v>
      </c>
    </row>
    <row r="109" spans="1:20" x14ac:dyDescent="0.45">
      <c r="A109">
        <v>108</v>
      </c>
      <c r="B109" s="2" t="s">
        <v>9</v>
      </c>
      <c r="C109" s="2">
        <v>22</v>
      </c>
      <c r="D109" t="s">
        <v>3</v>
      </c>
      <c r="E109" s="2" t="s">
        <v>12</v>
      </c>
      <c r="F109" s="2">
        <v>71</v>
      </c>
      <c r="G109" s="2">
        <v>54</v>
      </c>
      <c r="H109" s="2">
        <v>67</v>
      </c>
      <c r="I109" s="1">
        <v>3.9</v>
      </c>
      <c r="J109" s="1">
        <v>4.25</v>
      </c>
      <c r="K109" s="1">
        <v>4.1111111111111107</v>
      </c>
      <c r="L109" s="1">
        <v>4</v>
      </c>
      <c r="M109" s="1">
        <f t="shared" si="2"/>
        <v>4.0652777777777782</v>
      </c>
      <c r="N109">
        <f t="shared" si="3"/>
        <v>0</v>
      </c>
      <c r="P109">
        <f t="shared" si="3"/>
        <v>0</v>
      </c>
      <c r="Q109" s="2">
        <v>71</v>
      </c>
      <c r="R109" s="2">
        <v>54</v>
      </c>
      <c r="S109" s="2">
        <v>67</v>
      </c>
      <c r="T109" s="2">
        <v>22</v>
      </c>
    </row>
    <row r="110" spans="1:20" x14ac:dyDescent="0.45">
      <c r="A110">
        <v>109</v>
      </c>
      <c r="B110" s="2" t="s">
        <v>9</v>
      </c>
      <c r="C110" s="2">
        <v>20</v>
      </c>
      <c r="D110" t="s">
        <v>10</v>
      </c>
      <c r="E110" s="2" t="s">
        <v>12</v>
      </c>
      <c r="F110" s="2">
        <v>78</v>
      </c>
      <c r="G110" s="2">
        <v>39</v>
      </c>
      <c r="H110" s="2">
        <v>86</v>
      </c>
      <c r="I110" s="1">
        <v>3.4</v>
      </c>
      <c r="J110" s="1">
        <v>4</v>
      </c>
      <c r="K110" s="1">
        <v>3.6666666666666665</v>
      </c>
      <c r="L110" s="1">
        <v>4.5</v>
      </c>
      <c r="M110" s="1">
        <f t="shared" si="2"/>
        <v>3.8916666666666666</v>
      </c>
      <c r="N110">
        <f t="shared" si="3"/>
        <v>0</v>
      </c>
      <c r="P110">
        <f t="shared" si="3"/>
        <v>0</v>
      </c>
      <c r="Q110" s="2">
        <v>78</v>
      </c>
      <c r="R110" s="2">
        <v>39</v>
      </c>
      <c r="S110" s="2">
        <v>86</v>
      </c>
      <c r="T110" s="2">
        <v>20</v>
      </c>
    </row>
    <row r="111" spans="1:20" x14ac:dyDescent="0.45">
      <c r="A111">
        <v>110</v>
      </c>
      <c r="B111" s="2" t="s">
        <v>8</v>
      </c>
      <c r="C111" s="2">
        <v>18</v>
      </c>
      <c r="D111" t="s">
        <v>3</v>
      </c>
      <c r="E111" s="2" t="s">
        <v>12</v>
      </c>
      <c r="F111" s="2">
        <v>87</v>
      </c>
      <c r="G111" s="2">
        <v>64</v>
      </c>
      <c r="H111" s="2">
        <v>62</v>
      </c>
      <c r="I111" s="1">
        <v>4.3</v>
      </c>
      <c r="J111" s="1">
        <v>3.5</v>
      </c>
      <c r="K111" s="1">
        <v>4.1111111111111107</v>
      </c>
      <c r="L111" s="1">
        <v>4.25</v>
      </c>
      <c r="M111" s="1">
        <f t="shared" si="2"/>
        <v>4.0402777777777779</v>
      </c>
      <c r="N111">
        <f t="shared" si="3"/>
        <v>0</v>
      </c>
      <c r="P111">
        <f t="shared" si="3"/>
        <v>0</v>
      </c>
      <c r="Q111" s="2">
        <v>87</v>
      </c>
      <c r="R111" s="2">
        <v>64</v>
      </c>
      <c r="S111" s="2">
        <v>62</v>
      </c>
      <c r="T111" s="2">
        <v>18</v>
      </c>
    </row>
    <row r="112" spans="1:20" x14ac:dyDescent="0.45">
      <c r="A112">
        <v>111</v>
      </c>
      <c r="B112" s="2" t="s">
        <v>8</v>
      </c>
      <c r="C112" s="2">
        <v>20</v>
      </c>
      <c r="D112" t="s">
        <v>10</v>
      </c>
      <c r="E112" s="2" t="s">
        <v>12</v>
      </c>
      <c r="F112" s="2">
        <v>80</v>
      </c>
      <c r="G112" s="2">
        <v>62</v>
      </c>
      <c r="H112" s="2">
        <v>69</v>
      </c>
      <c r="I112" s="1">
        <v>4.2</v>
      </c>
      <c r="J112" s="1">
        <v>4.25</v>
      </c>
      <c r="K112" s="1">
        <v>4.2222222222222223</v>
      </c>
      <c r="L112" s="1">
        <v>4.5</v>
      </c>
      <c r="M112" s="1">
        <f t="shared" si="2"/>
        <v>4.2930555555555552</v>
      </c>
      <c r="N112">
        <f t="shared" si="3"/>
        <v>0</v>
      </c>
      <c r="P112">
        <f t="shared" si="3"/>
        <v>0</v>
      </c>
      <c r="Q112" s="2">
        <v>80</v>
      </c>
      <c r="R112" s="2">
        <v>62</v>
      </c>
      <c r="S112" s="2">
        <v>69</v>
      </c>
      <c r="T112" s="2">
        <v>20</v>
      </c>
    </row>
    <row r="113" spans="1:20" x14ac:dyDescent="0.45">
      <c r="A113">
        <v>112</v>
      </c>
      <c r="B113" s="2" t="s">
        <v>8</v>
      </c>
      <c r="C113" s="2">
        <v>20</v>
      </c>
      <c r="D113" t="s">
        <v>10</v>
      </c>
      <c r="E113" s="2" t="s">
        <v>12</v>
      </c>
      <c r="F113" s="2">
        <v>59</v>
      </c>
      <c r="G113" s="2">
        <v>51</v>
      </c>
      <c r="H113" s="2">
        <v>75</v>
      </c>
      <c r="I113" s="1">
        <v>4.0999999999999996</v>
      </c>
      <c r="J113" s="1">
        <v>2.75</v>
      </c>
      <c r="K113" s="1">
        <v>3.8888888888888888</v>
      </c>
      <c r="L113" s="1">
        <v>4.25</v>
      </c>
      <c r="M113" s="1">
        <f t="shared" si="2"/>
        <v>3.7472222222222222</v>
      </c>
      <c r="N113">
        <f t="shared" si="3"/>
        <v>0</v>
      </c>
      <c r="P113">
        <f t="shared" si="3"/>
        <v>0</v>
      </c>
      <c r="Q113" s="2">
        <v>59</v>
      </c>
      <c r="R113" s="2">
        <v>51</v>
      </c>
      <c r="S113" s="2">
        <v>75</v>
      </c>
      <c r="T113" s="2">
        <v>20</v>
      </c>
    </row>
    <row r="114" spans="1:20" x14ac:dyDescent="0.45">
      <c r="A114">
        <v>113</v>
      </c>
      <c r="B114" s="2" t="s">
        <v>9</v>
      </c>
      <c r="C114" s="2">
        <v>19</v>
      </c>
      <c r="D114" t="s">
        <v>2</v>
      </c>
      <c r="E114" s="2" t="s">
        <v>12</v>
      </c>
      <c r="F114" s="2">
        <v>55</v>
      </c>
      <c r="G114" s="2">
        <v>52</v>
      </c>
      <c r="H114" s="2">
        <v>47</v>
      </c>
      <c r="I114" s="1">
        <v>3.9</v>
      </c>
      <c r="J114" s="1">
        <v>4.25</v>
      </c>
      <c r="K114" s="1">
        <v>4.5555555555555554</v>
      </c>
      <c r="L114" s="1">
        <v>4</v>
      </c>
      <c r="M114" s="1">
        <f t="shared" si="2"/>
        <v>4.1763888888888889</v>
      </c>
      <c r="N114">
        <f t="shared" si="3"/>
        <v>0</v>
      </c>
      <c r="P114">
        <f t="shared" si="3"/>
        <v>0</v>
      </c>
      <c r="Q114" s="2">
        <v>55</v>
      </c>
      <c r="R114" s="2">
        <v>52</v>
      </c>
      <c r="S114" s="2">
        <v>47</v>
      </c>
      <c r="T114" s="2">
        <v>19</v>
      </c>
    </row>
    <row r="115" spans="1:20" x14ac:dyDescent="0.45">
      <c r="A115">
        <v>114</v>
      </c>
      <c r="B115" s="2" t="s">
        <v>9</v>
      </c>
      <c r="C115" s="2">
        <v>19</v>
      </c>
      <c r="D115" t="s">
        <v>10</v>
      </c>
      <c r="E115" s="2" t="s">
        <v>12</v>
      </c>
      <c r="F115" s="2">
        <v>71</v>
      </c>
      <c r="G115" s="2">
        <v>47</v>
      </c>
      <c r="H115" s="2">
        <v>52</v>
      </c>
      <c r="I115" s="1">
        <v>3.8</v>
      </c>
      <c r="J115" s="1">
        <v>4</v>
      </c>
      <c r="K115" s="1">
        <v>3.8888888888888888</v>
      </c>
      <c r="L115" s="1">
        <v>4</v>
      </c>
      <c r="M115" s="1">
        <f t="shared" si="2"/>
        <v>3.9222222222222221</v>
      </c>
      <c r="N115">
        <f t="shared" si="3"/>
        <v>0</v>
      </c>
      <c r="P115">
        <f t="shared" si="3"/>
        <v>0</v>
      </c>
      <c r="Q115" s="2">
        <v>71</v>
      </c>
      <c r="R115" s="2">
        <v>47</v>
      </c>
      <c r="S115" s="2">
        <v>52</v>
      </c>
      <c r="T115" s="2">
        <v>19</v>
      </c>
    </row>
    <row r="116" spans="1:20" x14ac:dyDescent="0.45">
      <c r="A116">
        <v>115</v>
      </c>
      <c r="B116" s="2" t="s">
        <v>8</v>
      </c>
      <c r="C116" s="2">
        <v>21</v>
      </c>
      <c r="D116" t="s">
        <v>4</v>
      </c>
      <c r="E116" s="2" t="s">
        <v>13</v>
      </c>
      <c r="F116" s="2">
        <v>73</v>
      </c>
      <c r="G116" s="2">
        <v>68</v>
      </c>
      <c r="H116" s="2">
        <v>51</v>
      </c>
      <c r="I116" s="1">
        <v>4.2</v>
      </c>
      <c r="J116" s="1">
        <v>4.5</v>
      </c>
      <c r="K116" s="1">
        <v>4.2222222222222223</v>
      </c>
      <c r="L116" s="1">
        <v>4</v>
      </c>
      <c r="M116" s="1">
        <f t="shared" si="2"/>
        <v>4.2305555555555552</v>
      </c>
      <c r="N116">
        <f t="shared" si="3"/>
        <v>0</v>
      </c>
      <c r="P116">
        <f t="shared" si="3"/>
        <v>0</v>
      </c>
      <c r="Q116" s="2">
        <v>73</v>
      </c>
      <c r="R116" s="2">
        <v>68</v>
      </c>
      <c r="S116" s="2">
        <v>51</v>
      </c>
      <c r="T116" s="2">
        <v>21</v>
      </c>
    </row>
    <row r="117" spans="1:20" x14ac:dyDescent="0.45">
      <c r="A117">
        <v>116</v>
      </c>
      <c r="B117" s="2" t="s">
        <v>8</v>
      </c>
      <c r="C117" s="2">
        <v>19</v>
      </c>
      <c r="D117" t="s">
        <v>4</v>
      </c>
      <c r="E117" s="2" t="s">
        <v>13</v>
      </c>
      <c r="F117" s="2">
        <v>55</v>
      </c>
      <c r="G117" s="2">
        <v>61</v>
      </c>
      <c r="H117" s="2">
        <v>60</v>
      </c>
      <c r="I117" s="1">
        <v>3.3</v>
      </c>
      <c r="J117" s="1">
        <v>4.25</v>
      </c>
      <c r="K117" s="1">
        <v>3.7777777777777777</v>
      </c>
      <c r="L117" s="1">
        <v>3.25</v>
      </c>
      <c r="M117" s="1">
        <f t="shared" si="2"/>
        <v>3.6444444444444444</v>
      </c>
      <c r="N117">
        <f t="shared" si="3"/>
        <v>0</v>
      </c>
      <c r="P117">
        <f t="shared" si="3"/>
        <v>0</v>
      </c>
      <c r="Q117" s="2">
        <v>55</v>
      </c>
      <c r="R117" s="2">
        <v>61</v>
      </c>
      <c r="S117" s="2">
        <v>60</v>
      </c>
      <c r="T117" s="2">
        <v>19</v>
      </c>
    </row>
    <row r="118" spans="1:20" x14ac:dyDescent="0.45">
      <c r="A118">
        <v>117</v>
      </c>
      <c r="B118" s="2" t="s">
        <v>8</v>
      </c>
      <c r="C118" s="2">
        <v>20</v>
      </c>
      <c r="D118" t="s">
        <v>10</v>
      </c>
      <c r="E118" s="2" t="s">
        <v>13</v>
      </c>
      <c r="F118" s="2">
        <v>84</v>
      </c>
      <c r="G118" s="2">
        <v>64</v>
      </c>
      <c r="H118" s="2">
        <v>62</v>
      </c>
      <c r="I118" s="1">
        <v>4.5</v>
      </c>
      <c r="J118" s="1">
        <v>5</v>
      </c>
      <c r="K118" s="1">
        <v>4.5555555555555554</v>
      </c>
      <c r="L118" s="1">
        <v>4.75</v>
      </c>
      <c r="M118" s="1">
        <f t="shared" si="2"/>
        <v>4.7013888888888893</v>
      </c>
      <c r="N118">
        <f t="shared" si="3"/>
        <v>0</v>
      </c>
      <c r="P118">
        <f t="shared" si="3"/>
        <v>0</v>
      </c>
      <c r="Q118" s="2">
        <v>84</v>
      </c>
      <c r="R118" s="2">
        <v>64</v>
      </c>
      <c r="S118" s="2">
        <v>62</v>
      </c>
      <c r="T118" s="2">
        <v>20</v>
      </c>
    </row>
    <row r="119" spans="1:20" x14ac:dyDescent="0.45">
      <c r="A119">
        <v>118</v>
      </c>
      <c r="B119" s="2" t="s">
        <v>8</v>
      </c>
      <c r="C119" s="2">
        <v>22</v>
      </c>
      <c r="D119" t="s">
        <v>4</v>
      </c>
      <c r="E119" s="2" t="s">
        <v>12</v>
      </c>
      <c r="F119" s="2">
        <v>94</v>
      </c>
      <c r="G119" s="2">
        <v>56</v>
      </c>
      <c r="H119" s="2">
        <v>63</v>
      </c>
      <c r="I119" s="1">
        <v>3.4</v>
      </c>
      <c r="J119" s="1">
        <v>3.5</v>
      </c>
      <c r="K119" s="1">
        <v>4.333333333333333</v>
      </c>
      <c r="L119" s="1">
        <v>2.5</v>
      </c>
      <c r="M119" s="1">
        <f t="shared" si="2"/>
        <v>3.4333333333333336</v>
      </c>
      <c r="N119">
        <f t="shared" si="3"/>
        <v>0</v>
      </c>
      <c r="P119">
        <f t="shared" si="3"/>
        <v>0</v>
      </c>
      <c r="Q119" s="2">
        <v>94</v>
      </c>
      <c r="R119" s="2">
        <v>56</v>
      </c>
      <c r="S119" s="2">
        <v>63</v>
      </c>
      <c r="T119" s="2">
        <v>22</v>
      </c>
    </row>
    <row r="120" spans="1:20" x14ac:dyDescent="0.45">
      <c r="A120">
        <v>119</v>
      </c>
      <c r="B120" s="2" t="s">
        <v>9</v>
      </c>
      <c r="C120" s="2">
        <v>20</v>
      </c>
      <c r="D120" t="s">
        <v>10</v>
      </c>
      <c r="E120" s="2" t="s">
        <v>13</v>
      </c>
      <c r="F120" s="2">
        <v>47</v>
      </c>
      <c r="G120" s="2">
        <v>66</v>
      </c>
      <c r="H120" s="2">
        <v>60</v>
      </c>
      <c r="I120" s="1">
        <v>3.7</v>
      </c>
      <c r="J120" s="1">
        <v>2.75</v>
      </c>
      <c r="K120" s="1">
        <v>3.375</v>
      </c>
      <c r="L120" s="1">
        <v>4.75</v>
      </c>
      <c r="M120" s="1">
        <f t="shared" si="2"/>
        <v>3.6437499999999998</v>
      </c>
      <c r="N120">
        <f t="shared" si="3"/>
        <v>0</v>
      </c>
      <c r="P120">
        <f t="shared" si="3"/>
        <v>0</v>
      </c>
      <c r="Q120" s="2">
        <v>47</v>
      </c>
      <c r="R120" s="2">
        <v>66</v>
      </c>
      <c r="S120" s="2">
        <v>60</v>
      </c>
      <c r="T120" s="2">
        <v>20</v>
      </c>
    </row>
    <row r="121" spans="1:20" x14ac:dyDescent="0.45">
      <c r="A121">
        <v>120</v>
      </c>
      <c r="B121" s="2" t="s">
        <v>8</v>
      </c>
      <c r="C121" s="2">
        <v>21</v>
      </c>
      <c r="D121" t="s">
        <v>10</v>
      </c>
      <c r="E121" s="2" t="s">
        <v>13</v>
      </c>
      <c r="F121" s="2">
        <v>55</v>
      </c>
      <c r="G121" s="2">
        <v>73</v>
      </c>
      <c r="H121" s="2">
        <v>55</v>
      </c>
      <c r="I121" s="1">
        <v>3.1</v>
      </c>
      <c r="J121" s="1">
        <v>3.5</v>
      </c>
      <c r="K121" s="1">
        <v>3.2222222222222223</v>
      </c>
      <c r="L121" s="1">
        <v>3</v>
      </c>
      <c r="M121" s="1">
        <f t="shared" si="2"/>
        <v>3.2055555555555557</v>
      </c>
      <c r="N121">
        <f t="shared" si="3"/>
        <v>0</v>
      </c>
      <c r="P121">
        <f t="shared" si="3"/>
        <v>0</v>
      </c>
      <c r="Q121" s="2">
        <v>55</v>
      </c>
      <c r="R121" s="2">
        <v>73</v>
      </c>
      <c r="S121" s="2">
        <v>55</v>
      </c>
      <c r="T121" s="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0FBE-AD31-4C1D-BB06-DD948A7E0451}">
  <dimension ref="A1:I22"/>
  <sheetViews>
    <sheetView tabSelected="1" workbookViewId="0">
      <selection activeCell="E16" sqref="E16"/>
    </sheetView>
  </sheetViews>
  <sheetFormatPr defaultRowHeight="14.25" x14ac:dyDescent="0.45"/>
  <cols>
    <col min="1" max="1" width="16.1328125" customWidth="1"/>
    <col min="3" max="3" width="12.33203125" customWidth="1"/>
    <col min="6" max="6" width="12.3984375" customWidth="1"/>
    <col min="8" max="8" width="10.796875" customWidth="1"/>
    <col min="9" max="9" width="21.53125" customWidth="1"/>
  </cols>
  <sheetData>
    <row r="1" spans="1:9" x14ac:dyDescent="0.45">
      <c r="A1" t="s">
        <v>24</v>
      </c>
    </row>
    <row r="2" spans="1:9" ht="14.65" thickBot="1" x14ac:dyDescent="0.5"/>
    <row r="3" spans="1:9" x14ac:dyDescent="0.45">
      <c r="A3" s="5" t="s">
        <v>25</v>
      </c>
      <c r="B3" s="5"/>
    </row>
    <row r="4" spans="1:9" x14ac:dyDescent="0.45">
      <c r="A4" t="s">
        <v>26</v>
      </c>
      <c r="B4">
        <v>0.45200714011744308</v>
      </c>
    </row>
    <row r="5" spans="1:9" x14ac:dyDescent="0.45">
      <c r="A5" t="s">
        <v>27</v>
      </c>
      <c r="B5">
        <v>0.20431045471714981</v>
      </c>
    </row>
    <row r="6" spans="1:9" x14ac:dyDescent="0.45">
      <c r="A6" t="s">
        <v>28</v>
      </c>
      <c r="B6">
        <v>0.16941179045035812</v>
      </c>
    </row>
    <row r="7" spans="1:9" x14ac:dyDescent="0.45">
      <c r="A7" t="s">
        <v>29</v>
      </c>
      <c r="B7">
        <v>0.4328531575056076</v>
      </c>
    </row>
    <row r="8" spans="1:9" ht="14.65" thickBot="1" x14ac:dyDescent="0.5">
      <c r="A8" s="3" t="s">
        <v>30</v>
      </c>
      <c r="B8" s="3">
        <v>120</v>
      </c>
    </row>
    <row r="10" spans="1:9" ht="14.65" thickBot="1" x14ac:dyDescent="0.5">
      <c r="A10" t="s">
        <v>31</v>
      </c>
    </row>
    <row r="11" spans="1:9" x14ac:dyDescent="0.4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45">
      <c r="A12" t="s">
        <v>32</v>
      </c>
      <c r="B12">
        <v>5</v>
      </c>
      <c r="C12">
        <v>5.484448587447595</v>
      </c>
      <c r="D12">
        <v>1.0968897174895189</v>
      </c>
      <c r="E12">
        <v>5.8543918230006398</v>
      </c>
      <c r="F12">
        <v>7.5001395971054932E-5</v>
      </c>
    </row>
    <row r="13" spans="1:9" x14ac:dyDescent="0.45">
      <c r="A13" t="s">
        <v>33</v>
      </c>
      <c r="B13">
        <v>114</v>
      </c>
      <c r="C13">
        <v>21.359251579733474</v>
      </c>
      <c r="D13">
        <v>0.18736185596257435</v>
      </c>
    </row>
    <row r="14" spans="1:9" ht="14.65" thickBot="1" x14ac:dyDescent="0.5">
      <c r="A14" s="3" t="s">
        <v>34</v>
      </c>
      <c r="B14" s="3">
        <v>119</v>
      </c>
      <c r="C14" s="3">
        <v>26.843700167181069</v>
      </c>
      <c r="D14" s="3"/>
      <c r="E14" s="3"/>
      <c r="F14" s="3"/>
    </row>
    <row r="15" spans="1:9" ht="14.65" thickBot="1" x14ac:dyDescent="0.5"/>
    <row r="16" spans="1:9" x14ac:dyDescent="0.4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45">
      <c r="A17" t="s">
        <v>35</v>
      </c>
      <c r="B17">
        <v>1.9878031965189109</v>
      </c>
      <c r="C17">
        <v>0.83069861426367164</v>
      </c>
      <c r="D17">
        <v>2.3929294721177459</v>
      </c>
      <c r="E17">
        <v>1.8348208262542874E-2</v>
      </c>
      <c r="F17">
        <v>0.34219563972335787</v>
      </c>
      <c r="G17">
        <v>3.6334107533144637</v>
      </c>
      <c r="H17">
        <v>0.34219563972335787</v>
      </c>
      <c r="I17">
        <v>3.6334107533144637</v>
      </c>
    </row>
    <row r="18" spans="1:9" x14ac:dyDescent="0.45">
      <c r="A18" t="s">
        <v>23</v>
      </c>
      <c r="B18">
        <v>0</v>
      </c>
      <c r="C18">
        <v>0</v>
      </c>
      <c r="D18">
        <v>65535</v>
      </c>
      <c r="E18" t="e">
        <v>#NUM!</v>
      </c>
      <c r="F18">
        <v>0</v>
      </c>
      <c r="G18">
        <v>0</v>
      </c>
      <c r="H18">
        <v>0</v>
      </c>
      <c r="I18">
        <v>0</v>
      </c>
    </row>
    <row r="19" spans="1:9" x14ac:dyDescent="0.45">
      <c r="A19" t="s">
        <v>15</v>
      </c>
      <c r="B19">
        <v>5.2187754598572601E-3</v>
      </c>
      <c r="C19">
        <v>2.9521753621526269E-3</v>
      </c>
      <c r="D19">
        <v>1.7677728521018157</v>
      </c>
      <c r="E19" t="e">
        <v>#NUM!</v>
      </c>
      <c r="F19">
        <v>-6.2946119484118788E-4</v>
      </c>
      <c r="G19">
        <v>1.1067012114555708E-2</v>
      </c>
      <c r="H19">
        <v>-6.2946119484118788E-4</v>
      </c>
      <c r="I19">
        <v>1.1067012114555708E-2</v>
      </c>
    </row>
    <row r="20" spans="1:9" x14ac:dyDescent="0.45">
      <c r="A20" t="s">
        <v>16</v>
      </c>
      <c r="B20">
        <v>6.5222910206538644E-3</v>
      </c>
      <c r="C20">
        <v>2.7802546632795535E-3</v>
      </c>
      <c r="D20">
        <v>2.3459329488041401</v>
      </c>
      <c r="E20">
        <v>2.0707308928073365E-2</v>
      </c>
      <c r="F20">
        <v>1.0146279462856017E-3</v>
      </c>
      <c r="G20">
        <v>1.2029954095022128E-2</v>
      </c>
      <c r="H20">
        <v>1.0146279462856017E-3</v>
      </c>
      <c r="I20">
        <v>1.2029954095022128E-2</v>
      </c>
    </row>
    <row r="21" spans="1:9" x14ac:dyDescent="0.45">
      <c r="A21" t="s">
        <v>17</v>
      </c>
      <c r="B21">
        <v>1.1438700020423331E-2</v>
      </c>
      <c r="C21">
        <v>3.6019929033907962E-3</v>
      </c>
      <c r="D21">
        <v>3.1756586776324074</v>
      </c>
      <c r="E21">
        <v>1.923202740758007E-3</v>
      </c>
      <c r="F21">
        <v>4.3031798214424591E-3</v>
      </c>
      <c r="G21">
        <v>1.8574220219404202E-2</v>
      </c>
      <c r="H21">
        <v>4.3031798214424591E-3</v>
      </c>
      <c r="I21">
        <v>1.8574220219404202E-2</v>
      </c>
    </row>
    <row r="22" spans="1:9" ht="14.65" thickBot="1" x14ac:dyDescent="0.5">
      <c r="A22" s="3" t="s">
        <v>0</v>
      </c>
      <c r="B22" s="3">
        <v>2.9628765406290499E-2</v>
      </c>
      <c r="C22" s="3">
        <v>4.11652599999607E-2</v>
      </c>
      <c r="D22" s="3">
        <v>0.7197516888346821</v>
      </c>
      <c r="E22" s="3">
        <v>0.47315091694859057</v>
      </c>
      <c r="F22" s="3">
        <v>-5.1919297597805378E-2</v>
      </c>
      <c r="G22" s="3">
        <v>0.11117682841038638</v>
      </c>
      <c r="H22" s="3">
        <v>-5.1919297597805378E-2</v>
      </c>
      <c r="I22" s="3">
        <v>0.11117682841038638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FDA7-BBE3-41AF-8791-2DB0AC2A93AE}">
  <dimension ref="A1"/>
  <sheetViews>
    <sheetView workbookViewId="0">
      <selection activeCell="J27" sqref="J2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7A16-E9A9-4185-A1A8-E0CE732271C1}">
  <dimension ref="A3:B6"/>
  <sheetViews>
    <sheetView workbookViewId="0">
      <selection activeCell="B3" sqref="B3"/>
    </sheetView>
  </sheetViews>
  <sheetFormatPr defaultRowHeight="14.25" x14ac:dyDescent="0.45"/>
  <cols>
    <col min="1" max="1" width="18" bestFit="1" customWidth="1"/>
    <col min="2" max="2" width="24.86328125" bestFit="1" customWidth="1"/>
  </cols>
  <sheetData>
    <row r="3" spans="1:2" x14ac:dyDescent="0.45">
      <c r="A3" s="6" t="s">
        <v>48</v>
      </c>
      <c r="B3" t="s">
        <v>50</v>
      </c>
    </row>
    <row r="4" spans="1:2" x14ac:dyDescent="0.45">
      <c r="A4" s="7" t="s">
        <v>12</v>
      </c>
      <c r="B4" s="1">
        <v>3.9382826278659611</v>
      </c>
    </row>
    <row r="5" spans="1:2" x14ac:dyDescent="0.45">
      <c r="A5" s="7" t="s">
        <v>13</v>
      </c>
      <c r="B5" s="1">
        <v>4.1861476608187145</v>
      </c>
    </row>
    <row r="6" spans="1:2" x14ac:dyDescent="0.45">
      <c r="A6" s="7" t="s">
        <v>49</v>
      </c>
      <c r="B6" s="1">
        <v>4.0560185185185178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Regrassion</vt:lpstr>
      <vt:lpstr>Visualization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Zhonghao</dc:creator>
  <cp:lastModifiedBy>Mohammad Shakin Rahman</cp:lastModifiedBy>
  <dcterms:created xsi:type="dcterms:W3CDTF">2011-08-01T14:22:18Z</dcterms:created>
  <dcterms:modified xsi:type="dcterms:W3CDTF">2026-04-17T03:58:51Z</dcterms:modified>
</cp:coreProperties>
</file>